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출력·부품 치수" sheetId="2" state="visible" r:id="rId4"/>
  </sheets>
  <definedNames>
    <definedName function="false" hidden="true" localSheetId="0" name="_xlnm._FilterDatabase" vbProcedure="false">BOM!$A$5:$M$38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Noto Sans CJK SC"/>
            <family val="2"/>
          </rPr>
          <t xml:space="preserve">가정값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구매 시점 환율로 바꾸세요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<sst xmlns="http://schemas.openxmlformats.org/spreadsheetml/2006/main" count="421" uniqueCount="261">
  <si>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(</t>
    </r>
    <r>
      <rPr>
        <b val="true"/>
        <sz val="14"/>
        <rFont val="Noto Sans CJK SC"/>
        <family val="2"/>
      </rPr>
      <t xml:space="preserve">다이나믹셀 </t>
    </r>
    <r>
      <rPr>
        <b val="true"/>
        <sz val="14"/>
        <rFont val="Arial"/>
        <family val="0"/>
        <charset val="1"/>
      </rPr>
      <t xml:space="preserve">XL330)</t>
    </r>
  </si>
  <si>
    <r>
      <rPr>
        <sz val="10"/>
        <rFont val="Noto Sans CJK SC"/>
        <family val="2"/>
      </rPr>
      <t xml:space="preserve">환율 </t>
    </r>
    <r>
      <rPr>
        <sz val="10"/>
        <rFont val="Arial"/>
        <family val="0"/>
        <charset val="1"/>
      </rPr>
      <t xml:space="preserve">(KRW/USD)</t>
    </r>
  </si>
  <si>
    <r>
      <rPr>
        <i val="true"/>
        <sz val="9"/>
        <rFont val="Noto Sans CJK SC"/>
        <family val="2"/>
      </rPr>
      <t xml:space="preserve">범례</t>
    </r>
    <r>
      <rPr>
        <i val="true"/>
        <sz val="9"/>
        <rFont val="Arial"/>
        <family val="0"/>
        <charset val="1"/>
      </rPr>
      <t xml:space="preserve">: </t>
    </r>
    <r>
      <rPr>
        <i val="true"/>
        <sz val="9"/>
        <rFont val="Noto Sans CJK SC"/>
        <family val="2"/>
      </rPr>
      <t xml:space="preserve">노란 칸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파란 글씨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Noto Sans CJK SC"/>
        <family val="2"/>
      </rPr>
      <t xml:space="preserve">직접 수정하는 입력값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수량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예비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단가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파란 글씨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도 수정 가능</t>
    </r>
    <r>
      <rPr>
        <i val="true"/>
        <sz val="9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</si>
  <si>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예비 포함 여부 </t>
    </r>
    <r>
      <rPr>
        <sz val="10"/>
        <rFont val="Arial"/>
        <family val="0"/>
        <charset val="1"/>
      </rPr>
      <t xml:space="preserve">(1=</t>
    </r>
    <r>
      <rPr>
        <sz val="10"/>
        <rFont val="Noto Sans CJK SC"/>
        <family val="2"/>
      </rPr>
      <t xml:space="preserve">포함</t>
    </r>
    <r>
      <rPr>
        <sz val="10"/>
        <rFont val="Arial"/>
        <family val="0"/>
        <charset val="1"/>
      </rPr>
      <t xml:space="preserve">, 0=</t>
    </r>
    <r>
      <rPr>
        <sz val="10"/>
        <rFont val="Noto Sans CJK SC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</si>
  <si>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rFont val="Noto Sans CJK SC"/>
        <family val="2"/>
      </rPr>
      <t xml:space="preserve">가격근거 </t>
    </r>
    <r>
      <rPr>
        <i val="true"/>
        <sz val="9"/>
        <rFont val="Arial"/>
        <family val="0"/>
        <charset val="1"/>
      </rPr>
      <t xml:space="preserve">verified = 2026-10-29 </t>
    </r>
    <r>
      <rPr>
        <i val="true"/>
        <sz val="9"/>
        <rFont val="Noto Sans CJK SC"/>
        <family val="2"/>
      </rPr>
      <t xml:space="preserve">판매 페이지 확인 </t>
    </r>
    <r>
      <rPr>
        <i val="true"/>
        <sz val="9"/>
        <rFont val="Arial"/>
        <family val="0"/>
        <charset val="1"/>
      </rPr>
      <t xml:space="preserve">/ estimate = </t>
    </r>
    <r>
      <rPr>
        <i val="true"/>
        <sz val="9"/>
        <rFont val="Noto Sans CJK SC"/>
        <family val="2"/>
      </rPr>
      <t xml:space="preserve">시세 추정</t>
    </r>
  </si>
  <si>
    <t xml:space="preserve">분류</t>
  </si>
  <si>
    <t xml:space="preserve">품목</t>
  </si>
  <si>
    <r>
      <rPr>
        <b val="true"/>
        <sz val="10"/>
        <color rgb="FFFFFFFF"/>
        <rFont val="Noto Sans CJK SC"/>
        <family val="2"/>
      </rPr>
      <t xml:space="preserve">규격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모델</t>
    </r>
  </si>
  <si>
    <t xml:space="preserve">수량</t>
  </si>
  <si>
    <t xml:space="preserve">예비</t>
  </si>
  <si>
    <t xml:space="preserve">총수량</t>
  </si>
  <si>
    <r>
      <rPr>
        <b val="true"/>
        <sz val="10"/>
        <color rgb="FFFFFFFF"/>
        <rFont val="Noto Sans CJK SC"/>
        <family val="2"/>
      </rPr>
      <t xml:space="preserve">단가</t>
    </r>
    <r>
      <rPr>
        <b val="true"/>
        <sz val="10"/>
        <color rgb="FFFFFFFF"/>
        <rFont val="Arial"/>
        <family val="0"/>
        <charset val="1"/>
      </rPr>
      <t xml:space="preserve">(USD)</t>
    </r>
  </si>
  <si>
    <r>
      <rPr>
        <b val="true"/>
        <sz val="10"/>
        <color rgb="FFFFFFFF"/>
        <rFont val="Noto Sans CJK SC"/>
        <family val="2"/>
      </rPr>
      <t xml:space="preserve">합계</t>
    </r>
    <r>
      <rPr>
        <b val="true"/>
        <sz val="10"/>
        <color rgb="FFFFFFFF"/>
        <rFont val="Arial"/>
        <family val="0"/>
        <charset val="1"/>
      </rPr>
      <t xml:space="preserve">(USD)</t>
    </r>
  </si>
  <si>
    <r>
      <rPr>
        <b val="true"/>
        <sz val="10"/>
        <color rgb="FFFFFFFF"/>
        <rFont val="Noto Sans CJK SC"/>
        <family val="2"/>
      </rPr>
      <t xml:space="preserve">합계</t>
    </r>
    <r>
      <rPr>
        <b val="true"/>
        <sz val="10"/>
        <color rgb="FFFFFFFF"/>
        <rFont val="Arial"/>
        <family val="0"/>
        <charset val="1"/>
      </rPr>
      <t xml:space="preserve">(KRW)</t>
    </r>
  </si>
  <si>
    <t xml:space="preserve">가격근거</t>
  </si>
  <si>
    <t xml:space="preserve">단계</t>
  </si>
  <si>
    <t xml:space="preserve">출처</t>
  </si>
  <si>
    <t xml:space="preserve">메모</t>
  </si>
  <si>
    <t xml:space="preserve">구동</t>
  </si>
  <si>
    <t xml:space="preserve">다이나믹셀 서보</t>
  </si>
  <si>
    <t xml:space="preserve">ROBOTIS XL330-M288-T</t>
  </si>
  <si>
    <t xml:space="preserve">verified</t>
  </si>
  <si>
    <t xml:space="preserve">필수</t>
  </si>
  <si>
    <t xml:space="preserve">https://robotis.us/dynamixel-xl330-m288-t</t>
  </si>
  <si>
    <r>
      <rPr>
        <sz val="10"/>
        <rFont val="Noto Sans CJK SC"/>
        <family val="2"/>
      </rPr>
      <t xml:space="preserve">다리 </t>
    </r>
    <r>
      <rPr>
        <sz val="10"/>
        <rFont val="Arial"/>
        <family val="0"/>
        <charset val="1"/>
      </rPr>
      <t xml:space="preserve">10 + </t>
    </r>
    <r>
      <rPr>
        <sz val="10"/>
        <rFont val="Noto Sans CJK SC"/>
        <family val="2"/>
      </rPr>
      <t xml:space="preserve">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머리 </t>
    </r>
    <r>
      <rPr>
        <sz val="10"/>
        <rFont val="Arial"/>
        <family val="0"/>
        <charset val="1"/>
      </rPr>
      <t xml:space="preserve">4 + </t>
    </r>
    <r>
      <rPr>
        <sz val="10"/>
        <rFont val="Noto Sans CJK SC"/>
        <family val="2"/>
      </rPr>
      <t xml:space="preserve">부리 </t>
    </r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정지토크 </t>
    </r>
    <r>
      <rPr>
        <sz val="10"/>
        <rFont val="Arial"/>
        <family val="0"/>
        <charset val="1"/>
      </rPr>
      <t xml:space="preserve">0.52 N·m@5V. M2 </t>
    </r>
    <r>
      <rPr>
        <sz val="10"/>
        <rFont val="Noto Sans CJK SC"/>
        <family val="2"/>
      </rPr>
      <t xml:space="preserve">탭볼트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·X3P </t>
    </r>
    <r>
      <rPr>
        <sz val="10"/>
        <rFont val="Noto Sans CJK SC"/>
        <family val="2"/>
      </rPr>
      <t xml:space="preserve">케이블 포함</t>
    </r>
  </si>
  <si>
    <r>
      <rPr>
        <sz val="10"/>
        <rFont val="Noto Sans CJK SC"/>
        <family val="2"/>
      </rPr>
      <t xml:space="preserve">서보 설정용 </t>
    </r>
    <r>
      <rPr>
        <sz val="10"/>
        <rFont val="Arial"/>
        <family val="0"/>
        <charset val="1"/>
      </rPr>
      <t xml:space="preserve">USB </t>
    </r>
    <r>
      <rPr>
        <sz val="10"/>
        <rFont val="Noto Sans CJK SC"/>
        <family val="2"/>
      </rPr>
      <t xml:space="preserve">인터페이스</t>
    </r>
  </si>
  <si>
    <t xml:space="preserve">ROBOTIS U2D2</t>
  </si>
  <si>
    <t xml:space="preserve">estimate</t>
  </si>
  <si>
    <t xml:space="preserve">https://emanual.robotis.com/docs/en/parts/interface/u2d2/</t>
  </si>
  <si>
    <r>
      <rPr>
        <sz val="10"/>
        <rFont val="Arial"/>
        <family val="0"/>
        <charset val="1"/>
      </rPr>
      <t xml:space="preserve">ID·</t>
    </r>
    <r>
      <rPr>
        <sz val="10"/>
        <rFont val="Noto Sans CJK SC"/>
        <family val="2"/>
      </rPr>
      <t xml:space="preserve">보레이트 설정</t>
    </r>
    <r>
      <rPr>
        <sz val="10"/>
        <rFont val="Arial"/>
        <family val="0"/>
        <charset val="1"/>
      </rPr>
      <t xml:space="preserve">, 1</t>
    </r>
    <r>
      <rPr>
        <sz val="10"/>
        <rFont val="Noto Sans CJK SC"/>
        <family val="2"/>
      </rPr>
      <t xml:space="preserve">단계 벤치 테스트 버스</t>
    </r>
  </si>
  <si>
    <r>
      <rPr>
        <sz val="10"/>
        <rFont val="Arial"/>
        <family val="0"/>
        <charset val="1"/>
      </rPr>
      <t xml:space="preserve">U2D2 </t>
    </r>
    <r>
      <rPr>
        <sz val="10"/>
        <rFont val="Noto Sans CJK SC"/>
        <family val="2"/>
      </rPr>
      <t xml:space="preserve">전원 허브</t>
    </r>
  </si>
  <si>
    <t xml:space="preserve">ROBOTIS U2D2 Power Hub Board</t>
  </si>
  <si>
    <t xml:space="preserve">권장</t>
  </si>
  <si>
    <t xml:space="preserve">https://emanual.robotis.com/docs/en/parts/interface/u2d2_power_hub/</t>
  </si>
  <si>
    <t xml:space="preserve">벤치에서 서보 여러 개에 전원 분배</t>
  </si>
  <si>
    <t xml:space="preserve">컴퓨팅</t>
  </si>
  <si>
    <r>
      <rPr>
        <sz val="10"/>
        <rFont val="Noto Sans CJK SC"/>
        <family val="2"/>
      </rPr>
      <t xml:space="preserve">메인 </t>
    </r>
    <r>
      <rPr>
        <sz val="10"/>
        <rFont val="Arial"/>
        <family val="0"/>
        <charset val="1"/>
      </rPr>
      <t xml:space="preserve">SBC</t>
    </r>
  </si>
  <si>
    <r>
      <rPr>
        <sz val="10"/>
        <rFont val="Arial"/>
        <family val="0"/>
        <charset val="1"/>
      </rPr>
      <t xml:space="preserve">Radxa Zero 3W (RK3566, RAM 2GB </t>
    </r>
    <r>
      <rPr>
        <sz val="10"/>
        <rFont val="Noto Sans CJK SC"/>
        <family val="2"/>
      </rPr>
      <t xml:space="preserve">이상</t>
    </r>
    <r>
      <rPr>
        <sz val="10"/>
        <rFont val="Arial"/>
        <family val="0"/>
        <charset val="1"/>
      </rPr>
      <t xml:space="preserve">, eMMC 16GB+)</t>
    </r>
  </si>
  <si>
    <t xml:space="preserve">https://ameridroid.com/products/radxa-zero-3w</t>
  </si>
  <si>
    <r>
      <rPr>
        <sz val="10"/>
        <rFont val="Noto Sans CJK SC"/>
        <family val="2"/>
      </rPr>
      <t xml:space="preserve">원본 런타임 타깃 보드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서보 버스 </t>
    </r>
    <r>
      <rPr>
        <sz val="10"/>
        <rFont val="Arial"/>
        <family val="0"/>
        <charset val="1"/>
      </rPr>
      <t xml:space="preserve">= UART2(/dev/ttyS2) 1 Mbps</t>
    </r>
  </si>
  <si>
    <t xml:space="preserve">방열판</t>
  </si>
  <si>
    <r>
      <rPr>
        <sz val="10"/>
        <rFont val="Arial"/>
        <family val="0"/>
        <charset val="1"/>
      </rPr>
      <t xml:space="preserve">RK3566</t>
    </r>
    <r>
      <rPr>
        <sz val="10"/>
        <rFont val="Noto Sans CJK SC"/>
        <family val="2"/>
      </rPr>
      <t xml:space="preserve">용 소형 히트싱크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써멀패드</t>
    </r>
  </si>
  <si>
    <r>
      <rPr>
        <sz val="10"/>
        <rFont val="Noto Sans CJK SC"/>
        <family val="2"/>
      </rPr>
      <t xml:space="preserve">원본 문서에 </t>
    </r>
    <r>
      <rPr>
        <sz val="10"/>
        <rFont val="Arial"/>
        <family val="0"/>
        <charset val="1"/>
      </rPr>
      <t xml:space="preserve">95 °C </t>
    </r>
    <r>
      <rPr>
        <sz val="10"/>
        <rFont val="Noto Sans CJK SC"/>
        <family val="2"/>
      </rPr>
      <t xml:space="preserve">스로틀링 사례 있음</t>
    </r>
  </si>
  <si>
    <r>
      <rPr>
        <sz val="10"/>
        <rFont val="Arial"/>
        <family val="0"/>
        <charset val="1"/>
      </rPr>
      <t xml:space="preserve">microSD (eMMC </t>
    </r>
    <r>
      <rPr>
        <sz val="10"/>
        <rFont val="Noto Sans CJK SC"/>
        <family val="2"/>
      </rPr>
      <t xml:space="preserve">없는 모델일 때</t>
    </r>
    <r>
      <rPr>
        <sz val="10"/>
        <rFont val="Arial"/>
        <family val="0"/>
        <charset val="1"/>
      </rPr>
      <t xml:space="preserve">)</t>
    </r>
  </si>
  <si>
    <t xml:space="preserve">32GB A1</t>
  </si>
  <si>
    <t xml:space="preserve">선택</t>
  </si>
  <si>
    <t xml:space="preserve">센서</t>
  </si>
  <si>
    <r>
      <rPr>
        <sz val="10"/>
        <rFont val="Noto Sans CJK SC"/>
        <family val="2"/>
      </rPr>
      <t xml:space="preserve">몸통 </t>
    </r>
    <r>
      <rPr>
        <sz val="10"/>
        <rFont val="Arial"/>
        <family val="0"/>
        <charset val="1"/>
      </rPr>
      <t xml:space="preserve">IMU</t>
    </r>
  </si>
  <si>
    <r>
      <rPr>
        <sz val="10"/>
        <rFont val="Arial"/>
        <family val="0"/>
        <charset val="1"/>
      </rPr>
      <t xml:space="preserve">LSM6DSV16X </t>
    </r>
    <r>
      <rPr>
        <sz val="10"/>
        <rFont val="Noto Sans CJK SC"/>
        <family val="2"/>
      </rPr>
      <t xml:space="preserve">브레이크아웃 </t>
    </r>
    <r>
      <rPr>
        <sz val="10"/>
        <rFont val="Arial"/>
        <family val="0"/>
        <charset val="1"/>
      </rPr>
      <t xml:space="preserve">(SFLP </t>
    </r>
    <r>
      <rPr>
        <sz val="10"/>
        <rFont val="Noto Sans CJK SC"/>
        <family val="2"/>
      </rPr>
      <t xml:space="preserve">쿼터니언 지원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</si>
  <si>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원본 </t>
    </r>
    <r>
      <rPr>
        <sz val="10"/>
        <rFont val="Arial"/>
        <family val="0"/>
        <charset val="1"/>
      </rPr>
      <t xml:space="preserve">imu_to_dxl v2 </t>
    </r>
    <r>
      <rPr>
        <sz val="10"/>
        <rFont val="Noto Sans CJK SC"/>
        <family val="2"/>
      </rPr>
      <t xml:space="preserve">보드와 같은 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정책 관측의 핵심</t>
    </r>
  </si>
  <si>
    <r>
      <rPr>
        <sz val="10"/>
        <rFont val="Arial"/>
        <family val="0"/>
        <charset val="1"/>
      </rPr>
      <t xml:space="preserve">IMU→</t>
    </r>
    <r>
      <rPr>
        <sz val="10"/>
        <rFont val="Noto Sans CJK SC"/>
        <family val="2"/>
      </rPr>
      <t xml:space="preserve">다이나믹셀 브리지 </t>
    </r>
    <r>
      <rPr>
        <sz val="10"/>
        <rFont val="Arial"/>
        <family val="0"/>
        <charset val="1"/>
      </rPr>
      <t xml:space="preserve">MCU</t>
    </r>
  </si>
  <si>
    <r>
      <rPr>
        <sz val="10"/>
        <rFont val="Arial"/>
        <family val="0"/>
        <charset val="1"/>
      </rPr>
      <t xml:space="preserve">ESP32-C3 SuperMini </t>
    </r>
    <r>
      <rPr>
        <sz val="10"/>
        <rFont val="Noto Sans CJK SC"/>
        <family val="2"/>
      </rPr>
      <t xml:space="preserve">또는 </t>
    </r>
    <r>
      <rPr>
        <sz val="10"/>
        <rFont val="Arial"/>
        <family val="0"/>
        <charset val="1"/>
      </rPr>
      <t xml:space="preserve">STM32G0 </t>
    </r>
    <r>
      <rPr>
        <sz val="10"/>
        <rFont val="Noto Sans CJK SC"/>
        <family val="2"/>
      </rPr>
      <t xml:space="preserve">소형보드</t>
    </r>
  </si>
  <si>
    <r>
      <rPr>
        <sz val="10"/>
        <rFont val="Noto Sans CJK SC"/>
        <family val="2"/>
      </rPr>
      <t xml:space="preserve">버스 </t>
    </r>
    <r>
      <rPr>
        <sz val="10"/>
        <rFont val="Arial"/>
        <family val="0"/>
        <charset val="1"/>
      </rPr>
      <t xml:space="preserve">ID 200 </t>
    </r>
    <r>
      <rPr>
        <sz val="10"/>
        <rFont val="Noto Sans CJK SC"/>
        <family val="2"/>
      </rPr>
      <t xml:space="preserve">슬레이브 펌웨어 직접 작성 </t>
    </r>
    <r>
      <rPr>
        <sz val="10"/>
        <rFont val="Arial"/>
        <family val="0"/>
        <charset val="1"/>
      </rPr>
      <t xml:space="preserve">(firmware/imu_to_dxl)</t>
    </r>
  </si>
  <si>
    <r>
      <rPr>
        <sz val="10"/>
        <rFont val="Arial"/>
        <family val="0"/>
        <charset val="1"/>
      </rPr>
      <t xml:space="preserve">ToF 8×8 </t>
    </r>
    <r>
      <rPr>
        <sz val="10"/>
        <rFont val="Noto Sans CJK SC"/>
        <family val="2"/>
      </rPr>
      <t xml:space="preserve">깊이센서</t>
    </r>
  </si>
  <si>
    <t xml:space="preserve">Pololu VL53L8CX Carrier #3419</t>
  </si>
  <si>
    <t xml:space="preserve">https://www.pololu.com/product/3419</t>
  </si>
  <si>
    <t xml:space="preserve">I²C, VIN 3.2–5.5 V, 13×23 mm</t>
  </si>
  <si>
    <t xml:space="preserve">카메라</t>
  </si>
  <si>
    <r>
      <rPr>
        <sz val="10"/>
        <rFont val="Arial"/>
        <family val="0"/>
        <charset val="1"/>
      </rPr>
      <t xml:space="preserve">IMX219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(Pi Cam v2 </t>
    </r>
    <r>
      <rPr>
        <sz val="10"/>
        <rFont val="Noto Sans CJK SC"/>
        <family val="2"/>
      </rPr>
      <t xml:space="preserve">호환</t>
    </r>
    <r>
      <rPr>
        <sz val="10"/>
        <rFont val="Arial"/>
        <family val="0"/>
        <charset val="1"/>
      </rPr>
      <t xml:space="preserve">) + M12 </t>
    </r>
    <r>
      <rPr>
        <sz val="10"/>
        <rFont val="Noto Sans CJK SC"/>
        <family val="2"/>
      </rPr>
      <t xml:space="preserve">광각렌즈</t>
    </r>
  </si>
  <si>
    <r>
      <rPr>
        <sz val="10"/>
        <rFont val="Arial"/>
        <family val="0"/>
        <charset val="1"/>
      </rPr>
      <t xml:space="preserve">Radxa Zero 3W 22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CSI. 15</t>
    </r>
    <r>
      <rPr>
        <sz val="10"/>
        <rFont val="Noto Sans CJK SC"/>
        <family val="2"/>
      </rPr>
      <t xml:space="preserve">핀 모듈이면 </t>
    </r>
    <r>
      <rPr>
        <sz val="10"/>
        <rFont val="Arial"/>
        <family val="0"/>
        <charset val="1"/>
      </rPr>
      <t xml:space="preserve">22→15</t>
    </r>
    <r>
      <rPr>
        <sz val="10"/>
        <rFont val="Noto Sans CJK SC"/>
        <family val="2"/>
      </rPr>
      <t xml:space="preserve">핀 케이블 필요</t>
    </r>
  </si>
  <si>
    <r>
      <rPr>
        <sz val="10"/>
        <rFont val="Arial"/>
        <family val="0"/>
        <charset val="1"/>
      </rPr>
      <t xml:space="preserve">CSI </t>
    </r>
    <r>
      <rPr>
        <sz val="10"/>
        <rFont val="Noto Sans CJK SC"/>
        <family val="2"/>
      </rPr>
      <t xml:space="preserve">케이블</t>
    </r>
  </si>
  <si>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핀↔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FPC 100 mm</t>
    </r>
  </si>
  <si>
    <t xml:space="preserve">오디오</t>
  </si>
  <si>
    <t xml:space="preserve">스피커</t>
  </si>
  <si>
    <t xml:space="preserve">35×25×7 mm 8Ω 1W</t>
  </si>
  <si>
    <t xml:space="preserve">원본 메시 치수와 동일</t>
  </si>
  <si>
    <t xml:space="preserve">오디오 코덱</t>
  </si>
  <si>
    <r>
      <rPr>
        <sz val="10"/>
        <rFont val="Arial"/>
        <family val="0"/>
        <charset val="1"/>
      </rPr>
      <t xml:space="preserve">TLV320AIC3104 (HAT</t>
    </r>
    <r>
      <rPr>
        <sz val="10"/>
        <rFont val="Noto Sans CJK SC"/>
        <family val="2"/>
      </rPr>
      <t xml:space="preserve">에 실장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또는 </t>
    </r>
    <r>
      <rPr>
        <sz val="10"/>
        <rFont val="Arial"/>
        <family val="0"/>
        <charset val="1"/>
      </rPr>
      <t xml:space="preserve">USB </t>
    </r>
    <r>
      <rPr>
        <sz val="10"/>
        <rFont val="Noto Sans CJK SC"/>
        <family val="2"/>
      </rPr>
      <t xml:space="preserve">사운드카드</t>
    </r>
  </si>
  <si>
    <r>
      <rPr>
        <sz val="10"/>
        <rFont val="Noto Sans CJK SC"/>
        <family val="2"/>
      </rPr>
      <t xml:space="preserve">원본 런타임은 </t>
    </r>
    <r>
      <rPr>
        <sz val="10"/>
        <rFont val="Arial"/>
        <family val="0"/>
        <charset val="1"/>
      </rPr>
      <t xml:space="preserve">TLV320AIC3104 </t>
    </r>
    <r>
      <rPr>
        <sz val="10"/>
        <rFont val="Noto Sans CJK SC"/>
        <family val="2"/>
      </rPr>
      <t xml:space="preserve">전제</t>
    </r>
    <r>
      <rPr>
        <sz val="10"/>
        <rFont val="Arial"/>
        <family val="0"/>
        <charset val="1"/>
      </rPr>
      <t xml:space="preserve">. USB</t>
    </r>
    <r>
      <rPr>
        <sz val="10"/>
        <rFont val="Noto Sans CJK SC"/>
        <family val="2"/>
      </rPr>
      <t xml:space="preserve">로 바꾸면 </t>
    </r>
    <r>
      <rPr>
        <sz val="10"/>
        <rFont val="Arial"/>
        <family val="0"/>
        <charset val="1"/>
      </rPr>
      <t xml:space="preserve">ALSA </t>
    </r>
    <r>
      <rPr>
        <sz val="10"/>
        <rFont val="Noto Sans CJK SC"/>
        <family val="2"/>
      </rPr>
      <t xml:space="preserve">장치명만 수정</t>
    </r>
  </si>
  <si>
    <t xml:space="preserve">마이크</t>
  </si>
  <si>
    <r>
      <rPr>
        <sz val="10"/>
        <rFont val="Arial"/>
        <family val="0"/>
        <charset val="1"/>
      </rPr>
      <t xml:space="preserve">I²S MEMS </t>
    </r>
    <r>
      <rPr>
        <sz val="10"/>
        <rFont val="Noto Sans CJK SC"/>
        <family val="2"/>
      </rPr>
      <t xml:space="preserve">또는 아날로그 </t>
    </r>
    <r>
      <rPr>
        <sz val="10"/>
        <rFont val="Arial"/>
        <family val="0"/>
        <charset val="1"/>
      </rPr>
      <t xml:space="preserve">MEMS </t>
    </r>
    <r>
      <rPr>
        <sz val="10"/>
        <rFont val="Noto Sans CJK SC"/>
        <family val="2"/>
      </rPr>
      <t xml:space="preserve">마이크</t>
    </r>
  </si>
  <si>
    <t xml:space="preserve">전원</t>
  </si>
  <si>
    <t xml:space="preserve">배터리</t>
  </si>
  <si>
    <r>
      <rPr>
        <sz val="10"/>
        <rFont val="Arial"/>
        <family val="0"/>
        <charset val="1"/>
      </rPr>
      <t xml:space="preserve">NP-F550 </t>
    </r>
    <r>
      <rPr>
        <sz val="10"/>
        <rFont val="Noto Sans CJK SC"/>
        <family val="2"/>
      </rPr>
      <t xml:space="preserve">호환 </t>
    </r>
    <r>
      <rPr>
        <sz val="10"/>
        <rFont val="Arial"/>
        <family val="0"/>
        <charset val="1"/>
      </rPr>
      <t xml:space="preserve">2S Li-ion 7.2 V 2200–2600 mAh</t>
    </r>
  </si>
  <si>
    <r>
      <rPr>
        <sz val="10"/>
        <rFont val="Noto Sans CJK SC"/>
        <family val="2"/>
      </rPr>
      <t xml:space="preserve">서보에 직결</t>
    </r>
    <r>
      <rPr>
        <sz val="10"/>
        <rFont val="Arial"/>
        <family val="0"/>
        <charset val="1"/>
      </rPr>
      <t xml:space="preserve">(6.6–8.2 V). </t>
    </r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시간 동작</t>
    </r>
  </si>
  <si>
    <t xml:space="preserve">배터리 충전기</t>
  </si>
  <si>
    <r>
      <rPr>
        <sz val="10"/>
        <rFont val="Arial"/>
        <family val="0"/>
        <charset val="1"/>
      </rPr>
      <t xml:space="preserve">NP-F </t>
    </r>
    <r>
      <rPr>
        <sz val="10"/>
        <rFont val="Noto Sans CJK SC"/>
        <family val="2"/>
      </rPr>
      <t xml:space="preserve">계열 </t>
    </r>
    <r>
      <rPr>
        <sz val="10"/>
        <rFont val="Arial"/>
        <family val="0"/>
        <charset val="1"/>
      </rPr>
      <t xml:space="preserve">USB </t>
    </r>
    <r>
      <rPr>
        <sz val="10"/>
        <rFont val="Noto Sans CJK SC"/>
        <family val="2"/>
      </rPr>
      <t xml:space="preserve">충전기</t>
    </r>
  </si>
  <si>
    <t xml:space="preserve">배터리 플레이트</t>
  </si>
  <si>
    <r>
      <rPr>
        <sz val="10"/>
        <rFont val="Arial"/>
        <family val="0"/>
        <charset val="1"/>
      </rPr>
      <t xml:space="preserve">NP-F </t>
    </r>
    <r>
      <rPr>
        <sz val="10"/>
        <rFont val="Noto Sans CJK SC"/>
        <family val="2"/>
      </rPr>
      <t xml:space="preserve">배터리 홀더 플레이트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리드선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</si>
  <si>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출력물 </t>
    </r>
    <r>
      <rPr>
        <sz val="10"/>
        <rFont val="Arial"/>
        <family val="0"/>
        <charset val="1"/>
      </rPr>
      <t xml:space="preserve">power_support</t>
    </r>
    <r>
      <rPr>
        <sz val="10"/>
        <rFont val="Noto Sans CJK SC"/>
        <family val="2"/>
      </rPr>
      <t xml:space="preserve">에 고정</t>
    </r>
  </si>
  <si>
    <r>
      <rPr>
        <sz val="10"/>
        <rFont val="Arial"/>
        <family val="0"/>
        <charset val="1"/>
      </rPr>
      <t xml:space="preserve">5V </t>
    </r>
    <r>
      <rPr>
        <sz val="10"/>
        <rFont val="Noto Sans CJK SC"/>
        <family val="2"/>
      </rPr>
      <t xml:space="preserve">강압 레귤레이터</t>
    </r>
  </si>
  <si>
    <r>
      <rPr>
        <sz val="10"/>
        <rFont val="Arial"/>
        <family val="0"/>
        <charset val="1"/>
      </rPr>
      <t xml:space="preserve">Pololu D24V22F5 (5 V 2.5 A) </t>
    </r>
    <r>
      <rPr>
        <sz val="10"/>
        <rFont val="Noto Sans CJK SC"/>
        <family val="2"/>
      </rPr>
      <t xml:space="preserve">또는 동급</t>
    </r>
  </si>
  <si>
    <t xml:space="preserve">https://www.pololu.com/product/2858</t>
  </si>
  <si>
    <r>
      <rPr>
        <sz val="10"/>
        <rFont val="Arial"/>
        <family val="0"/>
        <charset val="1"/>
      </rPr>
      <t xml:space="preserve">SBC·</t>
    </r>
    <r>
      <rPr>
        <sz val="10"/>
        <rFont val="Noto Sans CJK SC"/>
        <family val="2"/>
      </rPr>
      <t xml:space="preserve">센서용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서보는 배터리 직결</t>
    </r>
  </si>
  <si>
    <t xml:space="preserve">전원 스위치</t>
  </si>
  <si>
    <r>
      <rPr>
        <sz val="10"/>
        <rFont val="Noto Sans CJK SC"/>
        <family val="2"/>
      </rPr>
      <t xml:space="preserve">슬라이드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로커 스위치 </t>
    </r>
    <r>
      <rPr>
        <sz val="10"/>
        <rFont val="Arial"/>
        <family val="0"/>
        <charset val="1"/>
      </rPr>
      <t xml:space="preserve">5 A </t>
    </r>
    <r>
      <rPr>
        <sz val="10"/>
        <rFont val="Noto Sans CJK SC"/>
        <family val="2"/>
      </rPr>
      <t xml:space="preserve">이상</t>
    </r>
  </si>
  <si>
    <t xml:space="preserve">퓨즈</t>
  </si>
  <si>
    <r>
      <rPr>
        <sz val="10"/>
        <rFont val="Noto Sans CJK SC"/>
        <family val="2"/>
      </rPr>
      <t xml:space="preserve">미니 블레이드 또는 </t>
    </r>
    <r>
      <rPr>
        <sz val="10"/>
        <rFont val="Arial"/>
        <family val="0"/>
        <charset val="1"/>
      </rPr>
      <t xml:space="preserve">PTC 5 A</t>
    </r>
  </si>
  <si>
    <t xml:space="preserve">서보 버스 단락 보호</t>
  </si>
  <si>
    <t xml:space="preserve">커넥터</t>
  </si>
  <si>
    <r>
      <rPr>
        <sz val="10"/>
        <rFont val="Arial"/>
        <family val="0"/>
        <charset val="1"/>
      </rPr>
      <t xml:space="preserve">XT30 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암 세트</t>
    </r>
  </si>
  <si>
    <r>
      <rPr>
        <sz val="10"/>
        <rFont val="Noto Sans CJK SC"/>
        <family val="2"/>
      </rPr>
      <t xml:space="preserve">버스</t>
    </r>
    <r>
      <rPr>
        <sz val="10"/>
        <rFont val="Arial"/>
        <family val="0"/>
        <charset val="1"/>
      </rPr>
      <t xml:space="preserve">·PCB</t>
    </r>
  </si>
  <si>
    <r>
      <rPr>
        <sz val="10"/>
        <rFont val="Noto Sans CJK SC"/>
        <family val="2"/>
      </rPr>
      <t xml:space="preserve">반이중 버퍼 </t>
    </r>
    <r>
      <rPr>
        <sz val="10"/>
        <rFont val="Arial"/>
        <family val="0"/>
        <charset val="1"/>
      </rPr>
      <t xml:space="preserve">IC</t>
    </r>
  </si>
  <si>
    <r>
      <rPr>
        <sz val="10"/>
        <rFont val="Arial"/>
        <family val="0"/>
        <charset val="1"/>
      </rPr>
      <t xml:space="preserve">SN74LVC2G241 (ROBOTIS </t>
    </r>
    <r>
      <rPr>
        <sz val="10"/>
        <rFont val="Noto Sans CJK SC"/>
        <family val="2"/>
      </rPr>
      <t xml:space="preserve">레퍼런스 회로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</si>
  <si>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UART TX/RX → </t>
    </r>
    <r>
      <rPr>
        <sz val="10"/>
        <rFont val="Noto Sans CJK SC"/>
        <family val="2"/>
      </rPr>
      <t xml:space="preserve">다이나믹셀 단선 버스</t>
    </r>
    <r>
      <rPr>
        <sz val="10"/>
        <rFont val="Arial"/>
        <family val="0"/>
        <charset val="1"/>
      </rPr>
      <t xml:space="preserve">. 2</t>
    </r>
    <r>
      <rPr>
        <sz val="10"/>
        <rFont val="Noto Sans CJK SC"/>
        <family val="2"/>
      </rPr>
      <t xml:space="preserve">단계 </t>
    </r>
    <r>
      <rPr>
        <sz val="10"/>
        <rFont val="Arial"/>
        <family val="0"/>
        <charset val="1"/>
      </rPr>
      <t xml:space="preserve">HAT</t>
    </r>
    <r>
      <rPr>
        <sz val="10"/>
        <rFont val="Noto Sans CJK SC"/>
        <family val="2"/>
      </rPr>
      <t xml:space="preserve">에 실장</t>
    </r>
  </si>
  <si>
    <r>
      <rPr>
        <sz val="10"/>
        <rFont val="Noto Sans CJK SC"/>
        <family val="2"/>
      </rPr>
      <t xml:space="preserve">자작 </t>
    </r>
    <r>
      <rPr>
        <sz val="10"/>
        <rFont val="Arial"/>
        <family val="0"/>
        <charset val="1"/>
      </rPr>
      <t xml:space="preserve">HAT PCB</t>
    </r>
  </si>
  <si>
    <r>
      <rPr>
        <sz val="10"/>
        <rFont val="Arial"/>
        <family val="0"/>
        <charset val="1"/>
      </rPr>
      <t xml:space="preserve">65×30 mm 2</t>
    </r>
    <r>
      <rPr>
        <sz val="10"/>
        <rFont val="Noto Sans CJK SC"/>
        <family val="2"/>
      </rPr>
      <t xml:space="preserve">층 </t>
    </r>
    <r>
      <rPr>
        <sz val="10"/>
        <rFont val="Arial"/>
        <family val="0"/>
        <charset val="1"/>
      </rPr>
      <t xml:space="preserve">PCB (JLCPCB 5</t>
    </r>
    <r>
      <rPr>
        <sz val="10"/>
        <rFont val="Noto Sans CJK SC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</si>
  <si>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버퍼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전원</t>
    </r>
    <r>
      <rPr>
        <sz val="10"/>
        <rFont val="Arial"/>
        <family val="0"/>
        <charset val="1"/>
      </rPr>
      <t xml:space="preserve">·IMU </t>
    </r>
    <r>
      <rPr>
        <sz val="10"/>
        <rFont val="Noto Sans CJK SC"/>
        <family val="2"/>
      </rPr>
      <t xml:space="preserve">브리지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코덱 통합</t>
    </r>
    <r>
      <rPr>
        <sz val="10"/>
        <rFont val="Arial"/>
        <family val="0"/>
        <charset val="1"/>
      </rPr>
      <t xml:space="preserve">. hardware/hat</t>
    </r>
    <r>
      <rPr>
        <sz val="10"/>
        <rFont val="Noto Sans CJK SC"/>
        <family val="2"/>
      </rPr>
      <t xml:space="preserve">에서 설계</t>
    </r>
  </si>
  <si>
    <t xml:space="preserve">다이나믹셀 커넥터</t>
  </si>
  <si>
    <r>
      <rPr>
        <sz val="10"/>
        <rFont val="Arial"/>
        <family val="0"/>
        <charset val="1"/>
      </rPr>
      <t xml:space="preserve">JST EH 3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(B3B-EH-A) </t>
    </r>
    <r>
      <rPr>
        <sz val="10"/>
        <rFont val="Noto Sans CJK SC"/>
        <family val="2"/>
      </rPr>
      <t xml:space="preserve">헤더</t>
    </r>
  </si>
  <si>
    <r>
      <rPr>
        <sz val="10"/>
        <rFont val="Arial"/>
        <family val="0"/>
        <charset val="1"/>
      </rPr>
      <t xml:space="preserve">HAT</t>
    </r>
    <r>
      <rPr>
        <sz val="10"/>
        <rFont val="Noto Sans CJK SC"/>
        <family val="2"/>
      </rPr>
      <t xml:space="preserve">에서 다리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목 버스 분기</t>
    </r>
  </si>
  <si>
    <t xml:space="preserve">추가 케이블</t>
  </si>
  <si>
    <r>
      <rPr>
        <sz val="10"/>
        <rFont val="Arial"/>
        <family val="0"/>
        <charset val="1"/>
      </rPr>
      <t xml:space="preserve">Robot Cable-X3P </t>
    </r>
    <r>
      <rPr>
        <sz val="10"/>
        <rFont val="Noto Sans CJK SC"/>
        <family val="2"/>
      </rPr>
      <t xml:space="preserve">길이별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또는 </t>
    </r>
    <r>
      <rPr>
        <sz val="10"/>
        <rFont val="Arial"/>
        <family val="0"/>
        <charset val="1"/>
      </rPr>
      <t xml:space="preserve">EHR-03 </t>
    </r>
    <r>
      <rPr>
        <sz val="10"/>
        <rFont val="Noto Sans CJK SC"/>
        <family val="2"/>
      </rPr>
      <t xml:space="preserve">압착 자작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</si>
  <si>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서보 동봉 </t>
    </r>
    <r>
      <rPr>
        <sz val="10"/>
        <rFont val="Arial"/>
        <family val="0"/>
        <charset val="1"/>
      </rPr>
      <t xml:space="preserve">180 mm</t>
    </r>
    <r>
      <rPr>
        <sz val="10"/>
        <rFont val="Noto Sans CJK SC"/>
        <family val="2"/>
      </rPr>
      <t xml:space="preserve">로 모자란 구간</t>
    </r>
  </si>
  <si>
    <t xml:space="preserve">기구</t>
  </si>
  <si>
    <t xml:space="preserve">볼베어링</t>
  </si>
  <si>
    <r>
      <rPr>
        <sz val="10"/>
        <rFont val="Noto Sans CJK SC"/>
        <family val="2"/>
      </rPr>
      <t xml:space="preserve">내경</t>
    </r>
    <r>
      <rPr>
        <sz val="10"/>
        <rFont val="Arial"/>
        <family val="0"/>
        <charset val="1"/>
      </rPr>
      <t xml:space="preserve">16 × </t>
    </r>
    <r>
      <rPr>
        <sz val="10"/>
        <rFont val="Noto Sans CJK SC"/>
        <family val="2"/>
      </rPr>
      <t xml:space="preserve">외경</t>
    </r>
    <r>
      <rPr>
        <sz val="10"/>
        <rFont val="Arial"/>
        <family val="0"/>
        <charset val="1"/>
      </rPr>
      <t xml:space="preserve">22 × </t>
    </r>
    <r>
      <rPr>
        <sz val="10"/>
        <rFont val="Noto Sans CJK SC"/>
        <family val="2"/>
      </rPr>
      <t xml:space="preserve">폭</t>
    </r>
    <r>
      <rPr>
        <sz val="10"/>
        <rFont val="Arial"/>
        <family val="0"/>
        <charset val="1"/>
      </rPr>
      <t xml:space="preserve">4 mm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</si>
  <si>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관절 지지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고관절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몸통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</si>
  <si>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내경</t>
    </r>
    <r>
      <rPr>
        <sz val="10"/>
        <rFont val="Arial"/>
        <family val="0"/>
        <charset val="1"/>
      </rPr>
      <t xml:space="preserve">10 × </t>
    </r>
    <r>
      <rPr>
        <sz val="10"/>
        <rFont val="Noto Sans CJK SC"/>
        <family val="2"/>
      </rPr>
      <t xml:space="preserve">외경</t>
    </r>
    <r>
      <rPr>
        <sz val="10"/>
        <rFont val="Arial"/>
        <family val="0"/>
        <charset val="1"/>
      </rPr>
      <t xml:space="preserve">15 × </t>
    </r>
    <r>
      <rPr>
        <sz val="10"/>
        <rFont val="Noto Sans CJK SC"/>
        <family val="2"/>
      </rPr>
      <t xml:space="preserve">폭</t>
    </r>
    <r>
      <rPr>
        <sz val="10"/>
        <rFont val="Arial"/>
        <family val="0"/>
        <charset val="1"/>
      </rPr>
      <t xml:space="preserve">3 mm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</si>
  <si>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</si>
  <si>
    <t xml:space="preserve">보강판</t>
  </si>
  <si>
    <r>
      <rPr>
        <sz val="10"/>
        <rFont val="Arial"/>
        <family val="0"/>
        <charset val="1"/>
      </rPr>
      <t xml:space="preserve">1 mm </t>
    </r>
    <r>
      <rPr>
        <sz val="10"/>
        <rFont val="Noto Sans CJK SC"/>
        <family val="2"/>
      </rPr>
      <t xml:space="preserve">카본</t>
    </r>
    <r>
      <rPr>
        <sz val="10"/>
        <rFont val="Arial"/>
        <family val="0"/>
        <charset val="1"/>
      </rPr>
      <t xml:space="preserve">(CF) </t>
    </r>
    <r>
      <rPr>
        <sz val="10"/>
        <rFont val="Noto Sans CJK SC"/>
        <family val="2"/>
      </rPr>
      <t xml:space="preserve">판 </t>
    </r>
    <r>
      <rPr>
        <sz val="10"/>
        <rFont val="Arial"/>
        <family val="0"/>
        <charset val="1"/>
      </rPr>
      <t xml:space="preserve">100×100</t>
    </r>
  </si>
  <si>
    <r>
      <rPr>
        <sz val="10"/>
        <rFont val="Arial"/>
        <family val="0"/>
        <charset val="1"/>
      </rPr>
      <t xml:space="preserve">upper_leg_rigidity_plate ×2 </t>
    </r>
    <r>
      <rPr>
        <sz val="10"/>
        <rFont val="Noto Sans CJK SC"/>
        <family val="2"/>
      </rPr>
      <t xml:space="preserve">가공용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출력으로 대체 가능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두께 보강</t>
    </r>
    <r>
      <rPr>
        <sz val="10"/>
        <rFont val="Arial"/>
        <family val="0"/>
        <charset val="1"/>
      </rPr>
      <t xml:space="preserve">)</t>
    </r>
  </si>
  <si>
    <t xml:space="preserve">볼트 키트</t>
  </si>
  <si>
    <r>
      <rPr>
        <sz val="10"/>
        <rFont val="Arial"/>
        <family val="0"/>
        <charset val="1"/>
      </rPr>
      <t xml:space="preserve">M2/M2.5/M3 </t>
    </r>
    <r>
      <rPr>
        <sz val="10"/>
        <rFont val="Noto Sans CJK SC"/>
        <family val="2"/>
      </rPr>
      <t xml:space="preserve">볼트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너트 키트</t>
    </r>
  </si>
  <si>
    <r>
      <rPr>
        <sz val="10"/>
        <rFont val="Noto Sans CJK SC"/>
        <family val="2"/>
      </rPr>
      <t xml:space="preserve">서보 체결은 동봉 </t>
    </r>
    <r>
      <rPr>
        <sz val="10"/>
        <rFont val="Arial"/>
        <family val="0"/>
        <charset val="1"/>
      </rPr>
      <t xml:space="preserve">M2 </t>
    </r>
    <r>
      <rPr>
        <sz val="10"/>
        <rFont val="Noto Sans CJK SC"/>
        <family val="2"/>
      </rPr>
      <t xml:space="preserve">탭볼트 사용</t>
    </r>
  </si>
  <si>
    <t xml:space="preserve">인서트 너트</t>
  </si>
  <si>
    <r>
      <rPr>
        <sz val="10"/>
        <rFont val="Arial"/>
        <family val="0"/>
        <charset val="1"/>
      </rPr>
      <t xml:space="preserve">M2 / M2.5 </t>
    </r>
    <r>
      <rPr>
        <sz val="10"/>
        <rFont val="Noto Sans CJK SC"/>
        <family val="2"/>
      </rPr>
      <t xml:space="preserve">열압착 인서트 키트</t>
    </r>
  </si>
  <si>
    <t xml:space="preserve">출력소재</t>
  </si>
  <si>
    <t xml:space="preserve">경질 필라멘트</t>
  </si>
  <si>
    <t xml:space="preserve">PETG 1 kg</t>
  </si>
  <si>
    <r>
      <rPr>
        <sz val="10"/>
        <rFont val="Noto Sans CJK SC"/>
        <family val="2"/>
      </rPr>
      <t xml:space="preserve">경질 부품 실부피 약 </t>
    </r>
    <r>
      <rPr>
        <sz val="10"/>
        <rFont val="Arial"/>
        <family val="0"/>
        <charset val="1"/>
      </rPr>
      <t xml:space="preserve">207 cm³ (</t>
    </r>
    <r>
      <rPr>
        <sz val="10"/>
        <rFont val="Noto Sans CJK SC"/>
        <family val="2"/>
      </rPr>
      <t xml:space="preserve">재출력 여유 포함 </t>
    </r>
    <r>
      <rPr>
        <sz val="10"/>
        <rFont val="Arial"/>
        <family val="0"/>
        <charset val="1"/>
      </rPr>
      <t xml:space="preserve">1 kg)</t>
    </r>
  </si>
  <si>
    <t xml:space="preserve">연질 필라멘트</t>
  </si>
  <si>
    <t xml:space="preserve">TPU 95A 0.5–1 kg</t>
  </si>
  <si>
    <r>
      <rPr>
        <sz val="10"/>
        <rFont val="Noto Sans CJK SC"/>
        <family val="2"/>
      </rPr>
      <t xml:space="preserve">발바닥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부리 연질부 약 </t>
    </r>
    <r>
      <rPr>
        <sz val="10"/>
        <rFont val="Arial"/>
        <family val="0"/>
        <charset val="1"/>
      </rPr>
      <t xml:space="preserve">34 cm³</t>
    </r>
  </si>
  <si>
    <t xml:space="preserve">기타</t>
  </si>
  <si>
    <t xml:space="preserve">게임패드</t>
  </si>
  <si>
    <r>
      <rPr>
        <sz val="10"/>
        <rFont val="Arial"/>
        <family val="0"/>
        <charset val="1"/>
      </rPr>
      <t xml:space="preserve">Xbox </t>
    </r>
    <r>
      <rPr>
        <sz val="10"/>
        <rFont val="Noto Sans CJK SC"/>
        <family val="2"/>
      </rPr>
      <t xml:space="preserve">무선 컨트롤러 </t>
    </r>
    <r>
      <rPr>
        <sz val="10"/>
        <rFont val="Arial"/>
        <family val="0"/>
        <charset val="1"/>
      </rPr>
      <t xml:space="preserve">(BLE)</t>
    </r>
  </si>
  <si>
    <r>
      <rPr>
        <sz val="10"/>
        <rFont val="Noto Sans CJK SC"/>
        <family val="2"/>
      </rPr>
      <t xml:space="preserve">원본 런타임 기본 지원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보유 시 생략</t>
    </r>
  </si>
  <si>
    <r>
      <rPr>
        <b val="true"/>
        <sz val="10"/>
        <rFont val="Noto Sans CJK SC"/>
        <family val="2"/>
      </rPr>
      <t xml:space="preserve">총계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전체</t>
    </r>
    <r>
      <rPr>
        <b val="true"/>
        <sz val="10"/>
        <rFont val="Arial"/>
        <family val="0"/>
        <charset val="1"/>
      </rPr>
      <t xml:space="preserve">)</t>
    </r>
  </si>
  <si>
    <t xml:space="preserve">필수만</t>
  </si>
  <si>
    <r>
      <rPr>
        <b val="true"/>
        <sz val="10"/>
        <rFont val="Noto Sans CJK SC"/>
        <family val="2"/>
      </rPr>
      <t xml:space="preserve">필수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권장</t>
    </r>
  </si>
  <si>
    <r>
      <rPr>
        <b val="true"/>
        <sz val="10"/>
        <rFont val="Noto Sans CJK SC"/>
        <family val="2"/>
      </rPr>
      <t xml:space="preserve">서보 비중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전체 대비</t>
    </r>
    <r>
      <rPr>
        <b val="true"/>
        <sz val="10"/>
        <rFont val="Arial"/>
        <family val="0"/>
        <charset val="1"/>
      </rPr>
      <t xml:space="preserve">)</t>
    </r>
  </si>
  <si>
    <t xml:space="preserve">part</t>
  </si>
  <si>
    <t xml:space="preserve">X_mm</t>
  </si>
  <si>
    <t xml:space="preserve">Y_mm</t>
  </si>
  <si>
    <t xml:space="preserve">Z_mm</t>
  </si>
  <si>
    <r>
      <rPr>
        <b val="true"/>
        <sz val="10"/>
        <color rgb="FFFFFFFF"/>
        <rFont val="Noto Sans CJK SC"/>
        <family val="2"/>
      </rPr>
      <t xml:space="preserve">부피</t>
    </r>
    <r>
      <rPr>
        <b val="true"/>
        <sz val="10"/>
        <color rgb="FFFFFFFF"/>
        <rFont val="Arial"/>
        <family val="0"/>
        <charset val="1"/>
      </rPr>
      <t xml:space="preserve">_cm3</t>
    </r>
  </si>
  <si>
    <r>
      <rPr>
        <b val="true"/>
        <sz val="10"/>
        <color rgb="FFFFFFFF"/>
        <rFont val="Noto Sans CJK SC"/>
        <family val="2"/>
      </rPr>
      <t xml:space="preserve">권장재질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품목</t>
    </r>
  </si>
  <si>
    <t xml:space="preserve">파일</t>
  </si>
  <si>
    <t xml:space="preserve">ankle_l_v1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</si>
  <si>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경질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</si>
  <si>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PETG </t>
    </r>
    <r>
      <rPr>
        <sz val="10"/>
        <color rgb="FF000000"/>
        <rFont val="Noto Sans CJK SC"/>
        <family val="2"/>
      </rPr>
      <t xml:space="preserve">또는 </t>
    </r>
    <r>
      <rPr>
        <sz val="10"/>
        <color rgb="FF000000"/>
        <rFont val="Arial"/>
        <family val="0"/>
        <charset val="1"/>
      </rPr>
      <t xml:space="preserve">PLA+</t>
    </r>
  </si>
  <si>
    <t xml:space="preserve">롤러 장착용 발목 변형 롤러 옵션</t>
  </si>
  <si>
    <t xml:space="preserve">assets/ankle_l_v1.stl</t>
  </si>
  <si>
    <t xml:space="preserve">ankle_left</t>
  </si>
  <si>
    <t xml:space="preserve">assets/ankle_left.stl</t>
  </si>
  <si>
    <t xml:space="preserve">ankle_r_v1</t>
  </si>
  <si>
    <t xml:space="preserve">assets/ankle_r_v1.stl</t>
  </si>
  <si>
    <t xml:space="preserve">ankle_right</t>
  </si>
  <si>
    <t xml:space="preserve">assets/ankle_right.stl</t>
  </si>
  <si>
    <t xml:space="preserve">banana_pcb_locker</t>
  </si>
  <si>
    <t xml:space="preserve">assets/banana_pcb_locker.stl</t>
  </si>
  <si>
    <t xml:space="preserve">bearing_roll</t>
  </si>
  <si>
    <r>
      <rPr>
        <sz val="10"/>
        <color rgb="FF000000"/>
        <rFont val="Noto Sans CJK SC"/>
        <family val="2"/>
      </rPr>
      <t xml:space="preserve">판재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출력</t>
    </r>
  </si>
  <si>
    <r>
      <rPr>
        <sz val="10"/>
        <color rgb="FF000000"/>
        <rFont val="Arial"/>
        <family val="0"/>
        <charset val="1"/>
      </rPr>
      <t xml:space="preserve">3 mm </t>
    </r>
    <r>
      <rPr>
        <sz val="10"/>
        <color rgb="FF000000"/>
        <rFont val="Noto Sans CJK SC"/>
        <family val="2"/>
      </rPr>
      <t xml:space="preserve">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</si>
  <si>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t xml:space="preserve">고관절 롤 베어링 판</t>
  </si>
  <si>
    <t xml:space="preserve">assets/bearing_roll.stl</t>
  </si>
  <si>
    <t xml:space="preserve">bottom_head_shell</t>
  </si>
  <si>
    <t xml:space="preserve">assets/bottom_head_shell.stl</t>
  </si>
  <si>
    <t xml:space="preserve">elec_rpi_robot_hat_pcb</t>
  </si>
  <si>
    <r>
      <rPr>
        <sz val="10"/>
        <color rgb="FF000000"/>
        <rFont val="Noto Sans CJK SC"/>
        <family val="2"/>
      </rPr>
      <t xml:space="preserve">자작 </t>
    </r>
    <r>
      <rPr>
        <sz val="10"/>
        <color rgb="FF000000"/>
        <rFont val="Arial"/>
        <family val="0"/>
        <charset val="1"/>
      </rPr>
      <t xml:space="preserve">PCB</t>
    </r>
  </si>
  <si>
    <t xml:space="preserve">65×30 HAT</t>
  </si>
  <si>
    <r>
      <rPr>
        <sz val="10"/>
        <color rgb="FF000000"/>
        <rFont val="Noto Sans CJK SC"/>
        <family val="2"/>
      </rPr>
      <t xml:space="preserve">반이중 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전원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오디오 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직접 설계</t>
    </r>
    <r>
      <rPr>
        <sz val="10"/>
        <color rgb="FF000000"/>
        <rFont val="Arial"/>
        <family val="0"/>
        <charset val="1"/>
      </rPr>
      <t xml:space="preserve">)</t>
    </r>
  </si>
  <si>
    <t xml:space="preserve">assets/elec_rpi_robot_hat_pcb.stl</t>
  </si>
  <si>
    <t xml:space="preserve">face_part</t>
  </si>
  <si>
    <t xml:space="preserve">assets/face_part.stl</t>
  </si>
  <si>
    <t xml:space="preserve">foot_left</t>
  </si>
  <si>
    <t xml:space="preserve">assets/foot_left.stl</t>
  </si>
  <si>
    <t xml:space="preserve">foot_right</t>
  </si>
  <si>
    <t xml:space="preserve">assets/foot_right.stl</t>
  </si>
  <si>
    <t xml:space="preserve">hip_l</t>
  </si>
  <si>
    <t xml:space="preserve">assets/hip_l.stl</t>
  </si>
  <si>
    <t xml:space="preserve">jaw</t>
  </si>
  <si>
    <t xml:space="preserve">assets/jaw.stl</t>
  </si>
  <si>
    <t xml:space="preserve">jaw_soft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</si>
  <si>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연질</t>
    </r>
    <r>
      <rPr>
        <sz val="10"/>
        <color rgb="FF000000"/>
        <rFont val="Arial"/>
        <family val="0"/>
        <charset val="1"/>
      </rPr>
      <t xml:space="preserve">)</t>
    </r>
  </si>
  <si>
    <t xml:space="preserve">TPU 95A</t>
  </si>
  <si>
    <t xml:space="preserve">부리 아래 연질부</t>
  </si>
  <si>
    <t xml:space="preserve">assets/jaw_soft.stl</t>
  </si>
  <si>
    <t xml:space="preserve">left_shell</t>
  </si>
  <si>
    <t xml:space="preserve">assets/left_shell.stl</t>
  </si>
  <si>
    <t xml:space="preserve">leg</t>
  </si>
  <si>
    <t xml:space="preserve">assets/leg.stl</t>
  </si>
  <si>
    <t xml:space="preserve">lens</t>
  </si>
  <si>
    <t xml:space="preserve">구매품</t>
  </si>
  <si>
    <r>
      <rPr>
        <sz val="10"/>
        <color rgb="FF000000"/>
        <rFont val="Arial"/>
        <family val="0"/>
        <charset val="1"/>
      </rPr>
      <t xml:space="preserve">M12 </t>
    </r>
    <r>
      <rPr>
        <sz val="10"/>
        <color rgb="FF000000"/>
        <rFont val="Noto Sans CJK SC"/>
        <family val="2"/>
      </rPr>
      <t xml:space="preserve">광각 렌즈</t>
    </r>
  </si>
  <si>
    <r>
      <rPr>
        <sz val="10"/>
        <color rgb="FF000000"/>
        <rFont val="Arial"/>
        <family val="0"/>
        <charset val="1"/>
      </rPr>
      <t xml:space="preserve">IMX219 </t>
    </r>
    <r>
      <rPr>
        <sz val="10"/>
        <color rgb="FF000000"/>
        <rFont val="Noto Sans CJK SC"/>
        <family val="2"/>
      </rPr>
      <t xml:space="preserve">카메라용</t>
    </r>
  </si>
  <si>
    <t xml:space="preserve">assets/lens.stl</t>
  </si>
  <si>
    <t xml:space="preserve">m12_lens_holder</t>
  </si>
  <si>
    <t xml:space="preserve">assets/m12_lens_holder.stl</t>
  </si>
  <si>
    <t xml:space="preserve">motor_support</t>
  </si>
  <si>
    <t xml:space="preserve">assets/motor_support.stl</t>
  </si>
  <si>
    <t xml:space="preserve">neck</t>
  </si>
  <si>
    <r>
      <rPr>
        <sz val="10"/>
        <color rgb="FF000000"/>
        <rFont val="Arial"/>
        <family val="0"/>
        <charset val="1"/>
      </rPr>
      <t xml:space="preserve">2 mm </t>
    </r>
    <r>
      <rPr>
        <sz val="10"/>
        <color rgb="FF000000"/>
        <rFont val="Noto Sans CJK SC"/>
        <family val="2"/>
      </rPr>
      <t xml:space="preserve">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</si>
  <si>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t xml:space="preserve">assets/neck.stl</t>
  </si>
  <si>
    <t xml:space="preserve">neck_pitch</t>
  </si>
  <si>
    <t xml:space="preserve">assets/neck_pitch.stl</t>
  </si>
  <si>
    <t xml:space="preserve">noenoeil</t>
  </si>
  <si>
    <t xml:space="preserve">assets/noenoeil.stl</t>
  </si>
  <si>
    <t xml:space="preserve">np_f970</t>
  </si>
  <si>
    <r>
      <rPr>
        <sz val="10"/>
        <color rgb="FF000000"/>
        <rFont val="Arial"/>
        <family val="0"/>
        <charset val="1"/>
      </rPr>
      <t xml:space="preserve">Sony NP-F </t>
    </r>
    <r>
      <rPr>
        <sz val="10"/>
        <color rgb="FF000000"/>
        <rFont val="Noto Sans CJK SC"/>
        <family val="2"/>
      </rPr>
      <t xml:space="preserve">계열 배터리 외형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</si>
  <si>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NP-F970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실물은 </t>
    </r>
    <r>
      <rPr>
        <sz val="10"/>
        <color rgb="FF000000"/>
        <rFont val="Arial"/>
        <family val="0"/>
        <charset val="1"/>
      </rPr>
      <t xml:space="preserve">NP-F550</t>
    </r>
  </si>
  <si>
    <t xml:space="preserve">assets/np_f970.stl</t>
  </si>
  <si>
    <t xml:space="preserve">pcb__raspberry_pi_zero_2_w</t>
  </si>
  <si>
    <r>
      <rPr>
        <sz val="10"/>
        <color rgb="FF000000"/>
        <rFont val="Arial"/>
        <family val="0"/>
        <charset val="1"/>
      </rPr>
      <t xml:space="preserve">Radxa Zero 3W (</t>
    </r>
    <r>
      <rPr>
        <sz val="10"/>
        <color rgb="FF000000"/>
        <rFont val="Noto Sans CJK SC"/>
        <family val="2"/>
      </rPr>
      <t xml:space="preserve">동일 </t>
    </r>
    <r>
      <rPr>
        <sz val="10"/>
        <color rgb="FF000000"/>
        <rFont val="Arial"/>
        <family val="0"/>
        <charset val="1"/>
      </rPr>
      <t xml:space="preserve">65×30 </t>
    </r>
    <r>
      <rPr>
        <sz val="10"/>
        <color rgb="FF000000"/>
        <rFont val="Noto Sans CJK SC"/>
        <family val="2"/>
      </rPr>
      <t xml:space="preserve">폼팩터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</si>
  <si>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Pi Zero 2W </t>
    </r>
    <r>
      <rPr>
        <sz val="10"/>
        <color rgb="FF000000"/>
        <rFont val="Noto Sans CJK SC"/>
        <family val="2"/>
      </rPr>
      <t xml:space="preserve">자리표시자</t>
    </r>
  </si>
  <si>
    <t xml:space="preserve">assets/pcb__raspberry_pi_zero_2_w.stl</t>
  </si>
  <si>
    <t xml:space="preserve">power_support</t>
  </si>
  <si>
    <t xml:space="preserve">assets/power_support.stl</t>
  </si>
  <si>
    <t xml:space="preserve">right_shell</t>
  </si>
  <si>
    <t xml:space="preserve">assets/right_shell.stl</t>
  </si>
  <si>
    <t xml:space="preserve">rim</t>
  </si>
  <si>
    <t xml:space="preserve">롤러 옵션</t>
  </si>
  <si>
    <t xml:space="preserve">assets/rim.stl</t>
  </si>
  <si>
    <t xml:space="preserve">roller_blade</t>
  </si>
  <si>
    <t xml:space="preserve">assets/roller_blade.stl</t>
  </si>
  <si>
    <t xml:space="preserve">seeed_bearing__configuration__22x16x4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</si>
  <si>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16×22×4</t>
    </r>
  </si>
  <si>
    <t xml:space="preserve">관절 지지 베어링</t>
  </si>
  <si>
    <t xml:space="preserve">assets/seeed_bearing__configuration__22x16x4.stl</t>
  </si>
  <si>
    <t xml:space="preserve">seeed_bearing__configuration_default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</si>
  <si>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10×15×3</t>
    </r>
  </si>
  <si>
    <t xml:space="preserve">소형 베어링</t>
  </si>
  <si>
    <t xml:space="preserve">assets/seeed_bearing__configuration_default.stl</t>
  </si>
  <si>
    <t xml:space="preserve">soft_mouth_top</t>
  </si>
  <si>
    <t xml:space="preserve">부리 위 연질부</t>
  </si>
  <si>
    <t xml:space="preserve">assets/soft_mouth_top.stl</t>
  </si>
  <si>
    <t xml:space="preserve">sole_left</t>
  </si>
  <si>
    <t xml:space="preserve">발바닥</t>
  </si>
  <si>
    <t xml:space="preserve">assets/sole_left.stl</t>
  </si>
  <si>
    <t xml:space="preserve">sole_right</t>
  </si>
  <si>
    <t xml:space="preserve">assets/sole_right.stl</t>
  </si>
  <si>
    <t xml:space="preserve">speaker</t>
  </si>
  <si>
    <r>
      <rPr>
        <sz val="10"/>
        <color rgb="FF000000"/>
        <rFont val="Arial"/>
        <family val="0"/>
        <charset val="1"/>
      </rPr>
      <t xml:space="preserve">35×25×7 mm </t>
    </r>
    <r>
      <rPr>
        <sz val="10"/>
        <color rgb="FF000000"/>
        <rFont val="Noto Sans CJK SC"/>
        <family val="2"/>
      </rPr>
      <t xml:space="preserve">소형 스피커</t>
    </r>
  </si>
  <si>
    <t xml:space="preserve">assets/speaker.stl</t>
  </si>
  <si>
    <t xml:space="preserve">tire</t>
  </si>
  <si>
    <r>
      <rPr>
        <sz val="10"/>
        <color rgb="FF000000"/>
        <rFont val="Noto Sans CJK SC"/>
        <family val="2"/>
      </rPr>
      <t xml:space="preserve">롤러 타이어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롤러 옵션</t>
    </r>
  </si>
  <si>
    <t xml:space="preserve">assets/tire.stl</t>
  </si>
  <si>
    <t xml:space="preserve">top_head_shell</t>
  </si>
  <si>
    <t xml:space="preserve">assets/top_head_shell.stl</t>
  </si>
  <si>
    <t xml:space="preserve">trunk_base</t>
  </si>
  <si>
    <t xml:space="preserve">몸통 바닥판</t>
  </si>
  <si>
    <t xml:space="preserve">assets/trunk_base.stl</t>
  </si>
  <si>
    <t xml:space="preserve">upper_leg_left</t>
  </si>
  <si>
    <t xml:space="preserve">assets/upper_leg_left.stl</t>
  </si>
  <si>
    <t xml:space="preserve">upper_leg_right</t>
  </si>
  <si>
    <t xml:space="preserve">assets/upper_leg_right.stl</t>
  </si>
  <si>
    <t xml:space="preserve">upper_leg_rigidity_plate</t>
  </si>
  <si>
    <t xml:space="preserve">판재</t>
  </si>
  <si>
    <r>
      <rPr>
        <sz val="10"/>
        <color rgb="FF000000"/>
        <rFont val="Arial"/>
        <family val="0"/>
        <charset val="1"/>
      </rPr>
      <t xml:space="preserve">1 mm CF/</t>
    </r>
    <r>
      <rPr>
        <sz val="10"/>
        <color rgb="FF000000"/>
        <rFont val="Noto Sans CJK SC"/>
        <family val="2"/>
      </rPr>
      <t xml:space="preserve">알루미늄 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</si>
  <si>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두께 </t>
    </r>
    <r>
      <rPr>
        <sz val="10"/>
        <color rgb="FF000000"/>
        <rFont val="Arial"/>
        <family val="0"/>
        <charset val="1"/>
      </rPr>
      <t xml:space="preserve">1 mm — </t>
    </r>
    <r>
      <rPr>
        <sz val="10"/>
        <color rgb="FF000000"/>
        <rFont val="Noto Sans CJK SC"/>
        <family val="2"/>
      </rPr>
      <t xml:space="preserve">출력이면 보강 필요</t>
    </r>
  </si>
  <si>
    <t xml:space="preserve">assets/upper_leg_rigidity_plate.stl</t>
  </si>
  <si>
    <t xml:space="preserve">xl330</t>
  </si>
  <si>
    <r>
      <rPr>
        <sz val="10"/>
        <color rgb="FF000000"/>
        <rFont val="Noto Sans CJK SC"/>
        <family val="2"/>
      </rPr>
      <t xml:space="preserve">서보 외형 </t>
    </r>
    <r>
      <rPr>
        <sz val="10"/>
        <color rgb="FF000000"/>
        <rFont val="Arial"/>
        <family val="0"/>
        <charset val="1"/>
      </rPr>
      <t xml:space="preserve">(20×34×26 mm)</t>
    </r>
  </si>
  <si>
    <t xml:space="preserve">assets/xl330.stl</t>
  </si>
  <si>
    <t xml:space="preserve">yaw2roll</t>
  </si>
  <si>
    <t xml:space="preserve">assets/yaw2roll.stl</t>
  </si>
  <si>
    <t xml:space="preserve">yaw_roll_motion</t>
  </si>
  <si>
    <t xml:space="preserve">assets/yaw_roll_motion.stl</t>
  </si>
  <si>
    <r>
      <rPr>
        <i val="true"/>
        <sz val="9"/>
        <rFont val="Noto Sans CJK SC"/>
        <family val="2"/>
      </rPr>
      <t xml:space="preserve">출처</t>
    </r>
    <r>
      <rPr>
        <i val="true"/>
        <sz val="9"/>
        <rFont val="Arial"/>
        <family val="0"/>
        <charset val="1"/>
      </rPr>
      <t xml:space="preserve">: Pollen Robotics microduck_rl MJCF/STL </t>
    </r>
    <r>
      <rPr>
        <i val="true"/>
        <sz val="9"/>
        <rFont val="Noto Sans CJK SC"/>
        <family val="2"/>
      </rPr>
      <t xml:space="preserve">실측 </t>
    </r>
    <r>
      <rPr>
        <i val="true"/>
        <sz val="9"/>
        <rFont val="Arial"/>
        <family val="0"/>
        <charset val="1"/>
      </rPr>
      <t xml:space="preserve">(CC BY-NC-SA 4.0). </t>
    </r>
    <r>
      <rPr>
        <i val="true"/>
        <sz val="9"/>
        <rFont val="Noto Sans CJK SC"/>
        <family val="2"/>
      </rPr>
      <t xml:space="preserve">재질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분류는 추정값</t>
    </r>
    <r>
      <rPr>
        <i val="true"/>
        <sz val="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</si>
</sst>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\₩#,##0"/>
    <numFmt numFmtId="167" formatCode="\$#,##0"/>
    <numFmt numFmtId="168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obotis.us/dynamixel-xl330-m288-t" TargetMode="External"/><Relationship Id="rId3" Type="http://schemas.openxmlformats.org/officeDocument/2006/relationships/hyperlink" Target="https://emanual.robotis.com/docs/en/parts/interface/u2d2/" TargetMode="External"/><Relationship Id="rId4" Type="http://schemas.openxmlformats.org/officeDocument/2006/relationships/hyperlink" Target="https://emanual.robotis.com/docs/en/parts/interface/u2d2_power_hub/" TargetMode="External"/><Relationship Id="rId5" Type="http://schemas.openxmlformats.org/officeDocument/2006/relationships/hyperlink" Target="https://ameridroid.com/products/radxa-zero-3w" TargetMode="External"/><Relationship Id="rId6" Type="http://schemas.openxmlformats.org/officeDocument/2006/relationships/hyperlink" Target="https://www.pololu.com/product/3419" TargetMode="External"/><Relationship Id="rId7" Type="http://schemas.openxmlformats.org/officeDocument/2006/relationships/hyperlink" Target="https://www.pololu.com/product/2858" TargetMode="External"/><Relationship Id="rId8" Type="http://schemas.openxmlformats.org/officeDocument/2006/relationships/drawing" Target="../drawings/drawing1.xml"/><Relationship Id="rId9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7"/>
    <col collapsed="false" customWidth="true" hidden="false" outlineLevel="0" max="12" min="12" style="0" width="30"/>
    <col collapsed="false" customWidth="true" hidden="false" outlineLevel="0" max="13" min="13" style="0" width="6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C2" s="3" t="n">
        <v>1400</v>
      </c>
      <c r="E2" s="4" t="s">
        <v>2</v>
      </c>
    </row>
    <row r="3" customFormat="false" ht="15" hidden="false" customHeight="false" outlineLevel="0" collapsed="false">
      <c r="A3" s="2" t="s">
        <v>3</v>
      </c>
      <c r="C3" s="3" t="n">
        <v>1</v>
      </c>
      <c r="E3" s="4" t="s">
        <v>4</v>
      </c>
    </row>
    <row r="5" customFormat="false" ht="15" hidden="false" customHeight="false" outlineLevel="0" collapsed="false">
      <c r="A5" s="5" t="s">
        <v>5</v>
      </c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5" t="s">
        <v>11</v>
      </c>
      <c r="H5" s="5" t="s">
        <v>12</v>
      </c>
      <c r="I5" s="5" t="s">
        <v>13</v>
      </c>
      <c r="J5" s="5" t="s">
        <v>14</v>
      </c>
      <c r="K5" s="5" t="s">
        <v>15</v>
      </c>
      <c r="L5" s="5" t="s">
        <v>16</v>
      </c>
      <c r="M5" s="5" t="s">
        <v>17</v>
      </c>
    </row>
    <row r="6" customFormat="false" ht="15" hidden="false" customHeight="false" outlineLevel="0" collapsed="false">
      <c r="A6" s="6" t="s">
        <v>18</v>
      </c>
      <c r="B6" s="6" t="s">
        <v>19</v>
      </c>
      <c r="C6" s="7" t="s">
        <v>20</v>
      </c>
      <c r="D6" s="8" t="n">
        <v>15</v>
      </c>
      <c r="E6" s="8" t="n">
        <v>1</v>
      </c>
      <c r="F6" s="6" t="n">
        <f aca="false">D6+E6*$C$3</f>
        <v>16</v>
      </c>
      <c r="G6" s="9" t="n">
        <v>27.49</v>
      </c>
      <c r="H6" s="10" t="n">
        <f aca="false">F6*G6</f>
        <v>439.84</v>
      </c>
      <c r="I6" s="11" t="n">
        <f aca="false">H6*$C$2</f>
        <v>615776</v>
      </c>
      <c r="J6" s="7" t="s">
        <v>21</v>
      </c>
      <c r="K6" s="6" t="s">
        <v>22</v>
      </c>
      <c r="L6" s="12" t="s">
        <v>23</v>
      </c>
      <c r="M6" s="6" t="s">
        <v>24</v>
      </c>
    </row>
    <row r="7" customFormat="false" ht="15" hidden="false" customHeight="false" outlineLevel="0" collapsed="false">
      <c r="A7" s="6" t="s">
        <v>18</v>
      </c>
      <c r="B7" s="6" t="s">
        <v>25</v>
      </c>
      <c r="C7" s="7" t="s">
        <v>26</v>
      </c>
      <c r="D7" s="8" t="n">
        <v>1</v>
      </c>
      <c r="E7" s="8" t="n">
        <v>0</v>
      </c>
      <c r="F7" s="6" t="n">
        <f aca="false">D7+E7*$C$3</f>
        <v>1</v>
      </c>
      <c r="G7" s="9" t="n">
        <v>32.1</v>
      </c>
      <c r="H7" s="10" t="n">
        <f aca="false">F7*G7</f>
        <v>32.1</v>
      </c>
      <c r="I7" s="11" t="n">
        <f aca="false">H7*$C$2</f>
        <v>44940</v>
      </c>
      <c r="J7" s="7" t="s">
        <v>27</v>
      </c>
      <c r="K7" s="6" t="s">
        <v>22</v>
      </c>
      <c r="L7" s="12" t="s">
        <v>28</v>
      </c>
      <c r="M7" s="7" t="s">
        <v>29</v>
      </c>
    </row>
    <row r="8" customFormat="false" ht="15" hidden="false" customHeight="false" outlineLevel="0" collapsed="false">
      <c r="A8" s="6" t="s">
        <v>18</v>
      </c>
      <c r="B8" s="7" t="s">
        <v>30</v>
      </c>
      <c r="C8" s="7" t="s">
        <v>31</v>
      </c>
      <c r="D8" s="8" t="n">
        <v>1</v>
      </c>
      <c r="E8" s="8" t="n">
        <v>0</v>
      </c>
      <c r="F8" s="6" t="n">
        <f aca="false">D8+E8*$C$3</f>
        <v>1</v>
      </c>
      <c r="G8" s="9" t="n">
        <v>12</v>
      </c>
      <c r="H8" s="10" t="n">
        <f aca="false">F8*G8</f>
        <v>12</v>
      </c>
      <c r="I8" s="11" t="n">
        <f aca="false">H8*$C$2</f>
        <v>16800</v>
      </c>
      <c r="J8" s="7" t="s">
        <v>27</v>
      </c>
      <c r="K8" s="6" t="s">
        <v>32</v>
      </c>
      <c r="L8" s="12" t="s">
        <v>33</v>
      </c>
      <c r="M8" s="6" t="s">
        <v>34</v>
      </c>
    </row>
    <row r="9" customFormat="false" ht="15" hidden="false" customHeight="false" outlineLevel="0" collapsed="false">
      <c r="A9" s="6" t="s">
        <v>35</v>
      </c>
      <c r="B9" s="6" t="s">
        <v>36</v>
      </c>
      <c r="C9" s="7" t="s">
        <v>37</v>
      </c>
      <c r="D9" s="8" t="n">
        <v>1</v>
      </c>
      <c r="E9" s="8" t="n">
        <v>0</v>
      </c>
      <c r="F9" s="6" t="n">
        <f aca="false">D9+E9*$C$3</f>
        <v>1</v>
      </c>
      <c r="G9" s="9" t="n">
        <v>41.95</v>
      </c>
      <c r="H9" s="10" t="n">
        <f aca="false">F9*G9</f>
        <v>41.95</v>
      </c>
      <c r="I9" s="11" t="n">
        <f aca="false">H9*$C$2</f>
        <v>58730</v>
      </c>
      <c r="J9" s="7" t="s">
        <v>21</v>
      </c>
      <c r="K9" s="6" t="s">
        <v>22</v>
      </c>
      <c r="L9" s="12" t="s">
        <v>38</v>
      </c>
      <c r="M9" s="6" t="s">
        <v>39</v>
      </c>
    </row>
    <row r="10" customFormat="false" ht="15" hidden="false" customHeight="false" outlineLevel="0" collapsed="false">
      <c r="A10" s="6" t="s">
        <v>35</v>
      </c>
      <c r="B10" s="6" t="s">
        <v>40</v>
      </c>
      <c r="C10" s="7" t="s">
        <v>41</v>
      </c>
      <c r="D10" s="8" t="n">
        <v>1</v>
      </c>
      <c r="E10" s="8" t="n">
        <v>0</v>
      </c>
      <c r="F10" s="6" t="n">
        <f aca="false">D10+E10*$C$3</f>
        <v>1</v>
      </c>
      <c r="G10" s="9" t="n">
        <v>2</v>
      </c>
      <c r="H10" s="10" t="n">
        <f aca="false">F10*G10</f>
        <v>2</v>
      </c>
      <c r="I10" s="11" t="n">
        <f aca="false">H10*$C$2</f>
        <v>2800</v>
      </c>
      <c r="J10" s="7" t="s">
        <v>27</v>
      </c>
      <c r="K10" s="6" t="s">
        <v>22</v>
      </c>
      <c r="L10" s="6"/>
      <c r="M10" s="6" t="s">
        <v>42</v>
      </c>
    </row>
    <row r="11" customFormat="false" ht="15" hidden="false" customHeight="false" outlineLevel="0" collapsed="false">
      <c r="A11" s="6" t="s">
        <v>35</v>
      </c>
      <c r="B11" s="7" t="s">
        <v>43</v>
      </c>
      <c r="C11" s="7" t="s">
        <v>44</v>
      </c>
      <c r="D11" s="8" t="n">
        <v>1</v>
      </c>
      <c r="E11" s="8" t="n">
        <v>0</v>
      </c>
      <c r="F11" s="6" t="n">
        <f aca="false">D11+E11*$C$3</f>
        <v>1</v>
      </c>
      <c r="G11" s="9" t="n">
        <v>8</v>
      </c>
      <c r="H11" s="10" t="n">
        <f aca="false">F11*G11</f>
        <v>8</v>
      </c>
      <c r="I11" s="11" t="n">
        <f aca="false">H11*$C$2</f>
        <v>11200</v>
      </c>
      <c r="J11" s="7" t="s">
        <v>27</v>
      </c>
      <c r="K11" s="6" t="s">
        <v>45</v>
      </c>
      <c r="L11" s="6"/>
      <c r="M11" s="6"/>
    </row>
    <row r="12" customFormat="false" ht="15" hidden="false" customHeight="false" outlineLevel="0" collapsed="false">
      <c r="A12" s="6" t="s">
        <v>46</v>
      </c>
      <c r="B12" s="6" t="s">
        <v>47</v>
      </c>
      <c r="C12" s="7" t="s">
        <v>48</v>
      </c>
      <c r="D12" s="8" t="n">
        <v>1</v>
      </c>
      <c r="E12" s="8" t="n">
        <v>1</v>
      </c>
      <c r="F12" s="6" t="n">
        <f aca="false">D12+E12*$C$3</f>
        <v>2</v>
      </c>
      <c r="G12" s="9" t="n">
        <v>12</v>
      </c>
      <c r="H12" s="10" t="n">
        <f aca="false">F12*G12</f>
        <v>24</v>
      </c>
      <c r="I12" s="11" t="n">
        <f aca="false">H12*$C$2</f>
        <v>33600</v>
      </c>
      <c r="J12" s="7" t="s">
        <v>27</v>
      </c>
      <c r="K12" s="6" t="s">
        <v>22</v>
      </c>
      <c r="L12" s="6"/>
      <c r="M12" s="6" t="s">
        <v>49</v>
      </c>
    </row>
    <row r="13" customFormat="false" ht="15" hidden="false" customHeight="false" outlineLevel="0" collapsed="false">
      <c r="A13" s="6" t="s">
        <v>46</v>
      </c>
      <c r="B13" s="7" t="s">
        <v>50</v>
      </c>
      <c r="C13" s="7" t="s">
        <v>51</v>
      </c>
      <c r="D13" s="8" t="n">
        <v>1</v>
      </c>
      <c r="E13" s="8" t="n">
        <v>1</v>
      </c>
      <c r="F13" s="6" t="n">
        <f aca="false">D13+E13*$C$3</f>
        <v>2</v>
      </c>
      <c r="G13" s="9" t="n">
        <v>4</v>
      </c>
      <c r="H13" s="10" t="n">
        <f aca="false">F13*G13</f>
        <v>8</v>
      </c>
      <c r="I13" s="11" t="n">
        <f aca="false">H13*$C$2</f>
        <v>11200</v>
      </c>
      <c r="J13" s="7" t="s">
        <v>27</v>
      </c>
      <c r="K13" s="6" t="s">
        <v>22</v>
      </c>
      <c r="L13" s="6"/>
      <c r="M13" s="6" t="s">
        <v>52</v>
      </c>
    </row>
    <row r="14" customFormat="false" ht="15" hidden="false" customHeight="false" outlineLevel="0" collapsed="false">
      <c r="A14" s="6" t="s">
        <v>46</v>
      </c>
      <c r="B14" s="7" t="s">
        <v>53</v>
      </c>
      <c r="C14" s="7" t="s">
        <v>54</v>
      </c>
      <c r="D14" s="8" t="n">
        <v>1</v>
      </c>
      <c r="E14" s="8" t="n">
        <v>0</v>
      </c>
      <c r="F14" s="6" t="n">
        <f aca="false">D14+E14*$C$3</f>
        <v>1</v>
      </c>
      <c r="G14" s="9" t="n">
        <v>24.95</v>
      </c>
      <c r="H14" s="10" t="n">
        <f aca="false">F14*G14</f>
        <v>24.95</v>
      </c>
      <c r="I14" s="11" t="n">
        <f aca="false">H14*$C$2</f>
        <v>34930</v>
      </c>
      <c r="J14" s="7" t="s">
        <v>21</v>
      </c>
      <c r="K14" s="6" t="s">
        <v>32</v>
      </c>
      <c r="L14" s="12" t="s">
        <v>55</v>
      </c>
      <c r="M14" s="7" t="s">
        <v>56</v>
      </c>
    </row>
    <row r="15" customFormat="false" ht="15" hidden="false" customHeight="false" outlineLevel="0" collapsed="false">
      <c r="A15" s="6" t="s">
        <v>46</v>
      </c>
      <c r="B15" s="6" t="s">
        <v>57</v>
      </c>
      <c r="C15" s="7" t="s">
        <v>58</v>
      </c>
      <c r="D15" s="8" t="n">
        <v>1</v>
      </c>
      <c r="E15" s="8" t="n">
        <v>0</v>
      </c>
      <c r="F15" s="6" t="n">
        <f aca="false">D15+E15*$C$3</f>
        <v>1</v>
      </c>
      <c r="G15" s="9" t="n">
        <v>20</v>
      </c>
      <c r="H15" s="10" t="n">
        <f aca="false">F15*G15</f>
        <v>20</v>
      </c>
      <c r="I15" s="11" t="n">
        <f aca="false">H15*$C$2</f>
        <v>28000</v>
      </c>
      <c r="J15" s="7" t="s">
        <v>27</v>
      </c>
      <c r="K15" s="6" t="s">
        <v>32</v>
      </c>
      <c r="L15" s="6"/>
      <c r="M15" s="7" t="s">
        <v>59</v>
      </c>
    </row>
    <row r="16" customFormat="false" ht="15" hidden="false" customHeight="false" outlineLevel="0" collapsed="false">
      <c r="A16" s="6" t="s">
        <v>46</v>
      </c>
      <c r="B16" s="7" t="s">
        <v>60</v>
      </c>
      <c r="C16" s="7" t="s">
        <v>61</v>
      </c>
      <c r="D16" s="8" t="n">
        <v>1</v>
      </c>
      <c r="E16" s="8" t="n">
        <v>0</v>
      </c>
      <c r="F16" s="6" t="n">
        <f aca="false">D16+E16*$C$3</f>
        <v>1</v>
      </c>
      <c r="G16" s="9" t="n">
        <v>3</v>
      </c>
      <c r="H16" s="10" t="n">
        <f aca="false">F16*G16</f>
        <v>3</v>
      </c>
      <c r="I16" s="11" t="n">
        <f aca="false">H16*$C$2</f>
        <v>4200</v>
      </c>
      <c r="J16" s="7" t="s">
        <v>27</v>
      </c>
      <c r="K16" s="6" t="s">
        <v>32</v>
      </c>
      <c r="L16" s="6"/>
      <c r="M16" s="6"/>
    </row>
    <row r="17" customFormat="false" ht="15" hidden="false" customHeight="false" outlineLevel="0" collapsed="false">
      <c r="A17" s="6" t="s">
        <v>62</v>
      </c>
      <c r="B17" s="6" t="s">
        <v>63</v>
      </c>
      <c r="C17" s="7" t="s">
        <v>64</v>
      </c>
      <c r="D17" s="8" t="n">
        <v>1</v>
      </c>
      <c r="E17" s="8" t="n">
        <v>0</v>
      </c>
      <c r="F17" s="6" t="n">
        <f aca="false">D17+E17*$C$3</f>
        <v>1</v>
      </c>
      <c r="G17" s="9" t="n">
        <v>2</v>
      </c>
      <c r="H17" s="10" t="n">
        <f aca="false">F17*G17</f>
        <v>2</v>
      </c>
      <c r="I17" s="11" t="n">
        <f aca="false">H17*$C$2</f>
        <v>2800</v>
      </c>
      <c r="J17" s="7" t="s">
        <v>27</v>
      </c>
      <c r="K17" s="6" t="s">
        <v>45</v>
      </c>
      <c r="L17" s="6"/>
      <c r="M17" s="6" t="s">
        <v>65</v>
      </c>
    </row>
    <row r="18" customFormat="false" ht="15" hidden="false" customHeight="false" outlineLevel="0" collapsed="false">
      <c r="A18" s="6" t="s">
        <v>62</v>
      </c>
      <c r="B18" s="6" t="s">
        <v>66</v>
      </c>
      <c r="C18" s="7" t="s">
        <v>67</v>
      </c>
      <c r="D18" s="8" t="n">
        <v>1</v>
      </c>
      <c r="E18" s="8" t="n">
        <v>0</v>
      </c>
      <c r="F18" s="6" t="n">
        <f aca="false">D18+E18*$C$3</f>
        <v>1</v>
      </c>
      <c r="G18" s="9" t="n">
        <v>6</v>
      </c>
      <c r="H18" s="10" t="n">
        <f aca="false">F18*G18</f>
        <v>6</v>
      </c>
      <c r="I18" s="11" t="n">
        <f aca="false">H18*$C$2</f>
        <v>8400</v>
      </c>
      <c r="J18" s="7" t="s">
        <v>27</v>
      </c>
      <c r="K18" s="6" t="s">
        <v>45</v>
      </c>
      <c r="L18" s="6"/>
      <c r="M18" s="6" t="s">
        <v>68</v>
      </c>
    </row>
    <row r="19" customFormat="false" ht="15" hidden="false" customHeight="false" outlineLevel="0" collapsed="false">
      <c r="A19" s="6" t="s">
        <v>62</v>
      </c>
      <c r="B19" s="6" t="s">
        <v>69</v>
      </c>
      <c r="C19" s="7" t="s">
        <v>70</v>
      </c>
      <c r="D19" s="8" t="n">
        <v>1</v>
      </c>
      <c r="E19" s="8" t="n">
        <v>0</v>
      </c>
      <c r="F19" s="6" t="n">
        <f aca="false">D19+E19*$C$3</f>
        <v>1</v>
      </c>
      <c r="G19" s="9" t="n">
        <v>3</v>
      </c>
      <c r="H19" s="10" t="n">
        <f aca="false">F19*G19</f>
        <v>3</v>
      </c>
      <c r="I19" s="11" t="n">
        <f aca="false">H19*$C$2</f>
        <v>4200</v>
      </c>
      <c r="J19" s="7" t="s">
        <v>27</v>
      </c>
      <c r="K19" s="6" t="s">
        <v>45</v>
      </c>
      <c r="L19" s="6"/>
      <c r="M19" s="6"/>
    </row>
    <row r="20" customFormat="false" ht="15" hidden="false" customHeight="false" outlineLevel="0" collapsed="false">
      <c r="A20" s="6" t="s">
        <v>71</v>
      </c>
      <c r="B20" s="6" t="s">
        <v>72</v>
      </c>
      <c r="C20" s="7" t="s">
        <v>73</v>
      </c>
      <c r="D20" s="8" t="n">
        <v>1</v>
      </c>
      <c r="E20" s="8" t="n">
        <v>1</v>
      </c>
      <c r="F20" s="6" t="n">
        <f aca="false">D20+E20*$C$3</f>
        <v>2</v>
      </c>
      <c r="G20" s="9" t="n">
        <v>15</v>
      </c>
      <c r="H20" s="10" t="n">
        <f aca="false">F20*G20</f>
        <v>30</v>
      </c>
      <c r="I20" s="11" t="n">
        <f aca="false">H20*$C$2</f>
        <v>42000</v>
      </c>
      <c r="J20" s="7" t="s">
        <v>27</v>
      </c>
      <c r="K20" s="6" t="s">
        <v>22</v>
      </c>
      <c r="L20" s="6"/>
      <c r="M20" s="6" t="s">
        <v>74</v>
      </c>
    </row>
    <row r="21" customFormat="false" ht="15" hidden="false" customHeight="false" outlineLevel="0" collapsed="false">
      <c r="A21" s="6" t="s">
        <v>71</v>
      </c>
      <c r="B21" s="6" t="s">
        <v>75</v>
      </c>
      <c r="C21" s="7" t="s">
        <v>76</v>
      </c>
      <c r="D21" s="8" t="n">
        <v>1</v>
      </c>
      <c r="E21" s="8" t="n">
        <v>0</v>
      </c>
      <c r="F21" s="6" t="n">
        <f aca="false">D21+E21*$C$3</f>
        <v>1</v>
      </c>
      <c r="G21" s="9" t="n">
        <v>15</v>
      </c>
      <c r="H21" s="10" t="n">
        <f aca="false">F21*G21</f>
        <v>15</v>
      </c>
      <c r="I21" s="11" t="n">
        <f aca="false">H21*$C$2</f>
        <v>21000</v>
      </c>
      <c r="J21" s="7" t="s">
        <v>27</v>
      </c>
      <c r="K21" s="6" t="s">
        <v>22</v>
      </c>
      <c r="L21" s="6"/>
      <c r="M21" s="6"/>
    </row>
    <row r="22" customFormat="false" ht="15" hidden="false" customHeight="false" outlineLevel="0" collapsed="false">
      <c r="A22" s="6" t="s">
        <v>71</v>
      </c>
      <c r="B22" s="6" t="s">
        <v>77</v>
      </c>
      <c r="C22" s="7" t="s">
        <v>78</v>
      </c>
      <c r="D22" s="8" t="n">
        <v>1</v>
      </c>
      <c r="E22" s="8" t="n">
        <v>0</v>
      </c>
      <c r="F22" s="6" t="n">
        <f aca="false">D22+E22*$C$3</f>
        <v>1</v>
      </c>
      <c r="G22" s="9" t="n">
        <v>8</v>
      </c>
      <c r="H22" s="10" t="n">
        <f aca="false">F22*G22</f>
        <v>8</v>
      </c>
      <c r="I22" s="11" t="n">
        <f aca="false">H22*$C$2</f>
        <v>11200</v>
      </c>
      <c r="J22" s="7" t="s">
        <v>27</v>
      </c>
      <c r="K22" s="6" t="s">
        <v>22</v>
      </c>
      <c r="L22" s="6"/>
      <c r="M22" s="6" t="s">
        <v>79</v>
      </c>
    </row>
    <row r="23" customFormat="false" ht="15" hidden="false" customHeight="false" outlineLevel="0" collapsed="false">
      <c r="A23" s="6" t="s">
        <v>71</v>
      </c>
      <c r="B23" s="7" t="s">
        <v>80</v>
      </c>
      <c r="C23" s="7" t="s">
        <v>81</v>
      </c>
      <c r="D23" s="8" t="n">
        <v>1</v>
      </c>
      <c r="E23" s="8" t="n">
        <v>0</v>
      </c>
      <c r="F23" s="6" t="n">
        <f aca="false">D23+E23*$C$3</f>
        <v>1</v>
      </c>
      <c r="G23" s="9" t="n">
        <v>13</v>
      </c>
      <c r="H23" s="10" t="n">
        <f aca="false">F23*G23</f>
        <v>13</v>
      </c>
      <c r="I23" s="11" t="n">
        <f aca="false">H23*$C$2</f>
        <v>18200</v>
      </c>
      <c r="J23" s="7" t="s">
        <v>27</v>
      </c>
      <c r="K23" s="6" t="s">
        <v>22</v>
      </c>
      <c r="L23" s="12" t="s">
        <v>82</v>
      </c>
      <c r="M23" s="7" t="s">
        <v>83</v>
      </c>
    </row>
    <row r="24" customFormat="false" ht="15" hidden="false" customHeight="false" outlineLevel="0" collapsed="false">
      <c r="A24" s="6" t="s">
        <v>71</v>
      </c>
      <c r="B24" s="6" t="s">
        <v>84</v>
      </c>
      <c r="C24" s="6" t="s">
        <v>85</v>
      </c>
      <c r="D24" s="8" t="n">
        <v>1</v>
      </c>
      <c r="E24" s="8" t="n">
        <v>0</v>
      </c>
      <c r="F24" s="6" t="n">
        <f aca="false">D24+E24*$C$3</f>
        <v>1</v>
      </c>
      <c r="G24" s="9" t="n">
        <v>1</v>
      </c>
      <c r="H24" s="10" t="n">
        <f aca="false">F24*G24</f>
        <v>1</v>
      </c>
      <c r="I24" s="11" t="n">
        <f aca="false">H24*$C$2</f>
        <v>1400</v>
      </c>
      <c r="J24" s="7" t="s">
        <v>27</v>
      </c>
      <c r="K24" s="6" t="s">
        <v>22</v>
      </c>
      <c r="L24" s="6"/>
      <c r="M24" s="6"/>
    </row>
    <row r="25" customFormat="false" ht="15" hidden="false" customHeight="false" outlineLevel="0" collapsed="false">
      <c r="A25" s="6" t="s">
        <v>71</v>
      </c>
      <c r="B25" s="6" t="s">
        <v>86</v>
      </c>
      <c r="C25" s="6" t="s">
        <v>87</v>
      </c>
      <c r="D25" s="8" t="n">
        <v>1</v>
      </c>
      <c r="E25" s="8" t="n">
        <v>2</v>
      </c>
      <c r="F25" s="6" t="n">
        <f aca="false">D25+E25*$C$3</f>
        <v>3</v>
      </c>
      <c r="G25" s="9" t="n">
        <v>1</v>
      </c>
      <c r="H25" s="10" t="n">
        <f aca="false">F25*G25</f>
        <v>3</v>
      </c>
      <c r="I25" s="11" t="n">
        <f aca="false">H25*$C$2</f>
        <v>4200</v>
      </c>
      <c r="J25" s="7" t="s">
        <v>27</v>
      </c>
      <c r="K25" s="6" t="s">
        <v>22</v>
      </c>
      <c r="L25" s="6"/>
      <c r="M25" s="6" t="s">
        <v>88</v>
      </c>
    </row>
    <row r="26" customFormat="false" ht="15" hidden="false" customHeight="false" outlineLevel="0" collapsed="false">
      <c r="A26" s="6" t="s">
        <v>71</v>
      </c>
      <c r="B26" s="6" t="s">
        <v>89</v>
      </c>
      <c r="C26" s="7" t="s">
        <v>90</v>
      </c>
      <c r="D26" s="8" t="n">
        <v>2</v>
      </c>
      <c r="E26" s="8" t="n">
        <v>0</v>
      </c>
      <c r="F26" s="6" t="n">
        <f aca="false">D26+E26*$C$3</f>
        <v>2</v>
      </c>
      <c r="G26" s="9" t="n">
        <v>1</v>
      </c>
      <c r="H26" s="10" t="n">
        <f aca="false">F26*G26</f>
        <v>2</v>
      </c>
      <c r="I26" s="11" t="n">
        <f aca="false">H26*$C$2</f>
        <v>2800</v>
      </c>
      <c r="J26" s="7" t="s">
        <v>27</v>
      </c>
      <c r="K26" s="6" t="s">
        <v>32</v>
      </c>
      <c r="L26" s="6"/>
      <c r="M26" s="6"/>
    </row>
    <row r="27" customFormat="false" ht="15" hidden="false" customHeight="false" outlineLevel="0" collapsed="false">
      <c r="A27" s="6" t="s">
        <v>91</v>
      </c>
      <c r="B27" s="6" t="s">
        <v>92</v>
      </c>
      <c r="C27" s="7" t="s">
        <v>93</v>
      </c>
      <c r="D27" s="8" t="n">
        <v>1</v>
      </c>
      <c r="E27" s="8" t="n">
        <v>2</v>
      </c>
      <c r="F27" s="6" t="n">
        <f aca="false">D27+E27*$C$3</f>
        <v>3</v>
      </c>
      <c r="G27" s="9" t="n">
        <v>0.6</v>
      </c>
      <c r="H27" s="10" t="n">
        <f aca="false">F27*G27</f>
        <v>1.8</v>
      </c>
      <c r="I27" s="11" t="n">
        <f aca="false">H27*$C$2</f>
        <v>2520</v>
      </c>
      <c r="J27" s="7" t="s">
        <v>27</v>
      </c>
      <c r="K27" s="6" t="s">
        <v>22</v>
      </c>
      <c r="L27" s="6"/>
      <c r="M27" s="7" t="s">
        <v>94</v>
      </c>
    </row>
    <row r="28" customFormat="false" ht="15" hidden="false" customHeight="false" outlineLevel="0" collapsed="false">
      <c r="A28" s="6" t="s">
        <v>91</v>
      </c>
      <c r="B28" s="6" t="s">
        <v>95</v>
      </c>
      <c r="C28" s="7" t="s">
        <v>96</v>
      </c>
      <c r="D28" s="8" t="n">
        <v>1</v>
      </c>
      <c r="E28" s="8" t="n">
        <v>0</v>
      </c>
      <c r="F28" s="6" t="n">
        <f aca="false">D28+E28*$C$3</f>
        <v>1</v>
      </c>
      <c r="G28" s="9" t="n">
        <v>8</v>
      </c>
      <c r="H28" s="10" t="n">
        <f aca="false">F28*G28</f>
        <v>8</v>
      </c>
      <c r="I28" s="11" t="n">
        <f aca="false">H28*$C$2</f>
        <v>11200</v>
      </c>
      <c r="J28" s="7" t="s">
        <v>27</v>
      </c>
      <c r="K28" s="6" t="s">
        <v>22</v>
      </c>
      <c r="L28" s="6"/>
      <c r="M28" s="6" t="s">
        <v>97</v>
      </c>
    </row>
    <row r="29" customFormat="false" ht="15" hidden="false" customHeight="false" outlineLevel="0" collapsed="false">
      <c r="A29" s="6" t="s">
        <v>91</v>
      </c>
      <c r="B29" s="6" t="s">
        <v>98</v>
      </c>
      <c r="C29" s="7" t="s">
        <v>99</v>
      </c>
      <c r="D29" s="8" t="n">
        <v>6</v>
      </c>
      <c r="E29" s="8" t="n">
        <v>4</v>
      </c>
      <c r="F29" s="6" t="n">
        <f aca="false">D29+E29*$C$3</f>
        <v>10</v>
      </c>
      <c r="G29" s="9" t="n">
        <v>0.2</v>
      </c>
      <c r="H29" s="10" t="n">
        <f aca="false">F29*G29</f>
        <v>2</v>
      </c>
      <c r="I29" s="11" t="n">
        <f aca="false">H29*$C$2</f>
        <v>2800</v>
      </c>
      <c r="J29" s="7" t="s">
        <v>27</v>
      </c>
      <c r="K29" s="6" t="s">
        <v>22</v>
      </c>
      <c r="L29" s="6"/>
      <c r="M29" s="7" t="s">
        <v>100</v>
      </c>
    </row>
    <row r="30" customFormat="false" ht="15" hidden="false" customHeight="false" outlineLevel="0" collapsed="false">
      <c r="A30" s="6" t="s">
        <v>91</v>
      </c>
      <c r="B30" s="6" t="s">
        <v>101</v>
      </c>
      <c r="C30" s="7" t="s">
        <v>102</v>
      </c>
      <c r="D30" s="8" t="n">
        <v>4</v>
      </c>
      <c r="E30" s="8" t="n">
        <v>0</v>
      </c>
      <c r="F30" s="6" t="n">
        <f aca="false">D30+E30*$C$3</f>
        <v>4</v>
      </c>
      <c r="G30" s="9" t="n">
        <v>2</v>
      </c>
      <c r="H30" s="10" t="n">
        <f aca="false">F30*G30</f>
        <v>8</v>
      </c>
      <c r="I30" s="11" t="n">
        <f aca="false">H30*$C$2</f>
        <v>11200</v>
      </c>
      <c r="J30" s="7" t="s">
        <v>27</v>
      </c>
      <c r="K30" s="6" t="s">
        <v>32</v>
      </c>
      <c r="L30" s="6"/>
      <c r="M30" s="6" t="s">
        <v>103</v>
      </c>
    </row>
    <row r="31" customFormat="false" ht="15" hidden="false" customHeight="false" outlineLevel="0" collapsed="false">
      <c r="A31" s="6" t="s">
        <v>104</v>
      </c>
      <c r="B31" s="6" t="s">
        <v>105</v>
      </c>
      <c r="C31" s="6" t="s">
        <v>106</v>
      </c>
      <c r="D31" s="8" t="n">
        <v>11</v>
      </c>
      <c r="E31" s="8" t="n">
        <v>2</v>
      </c>
      <c r="F31" s="6" t="n">
        <f aca="false">D31+E31*$C$3</f>
        <v>13</v>
      </c>
      <c r="G31" s="9" t="n">
        <v>1.2</v>
      </c>
      <c r="H31" s="10" t="n">
        <f aca="false">F31*G31</f>
        <v>15.6</v>
      </c>
      <c r="I31" s="11" t="n">
        <f aca="false">H31*$C$2</f>
        <v>21840</v>
      </c>
      <c r="J31" s="7" t="s">
        <v>27</v>
      </c>
      <c r="K31" s="6" t="s">
        <v>22</v>
      </c>
      <c r="L31" s="6"/>
      <c r="M31" s="7" t="s">
        <v>107</v>
      </c>
    </row>
    <row r="32" customFormat="false" ht="15" hidden="false" customHeight="false" outlineLevel="0" collapsed="false">
      <c r="A32" s="6" t="s">
        <v>104</v>
      </c>
      <c r="B32" s="6" t="s">
        <v>105</v>
      </c>
      <c r="C32" s="6" t="s">
        <v>108</v>
      </c>
      <c r="D32" s="8" t="n">
        <v>3</v>
      </c>
      <c r="E32" s="8" t="n">
        <v>1</v>
      </c>
      <c r="F32" s="6" t="n">
        <f aca="false">D32+E32*$C$3</f>
        <v>4</v>
      </c>
      <c r="G32" s="9" t="n">
        <v>1</v>
      </c>
      <c r="H32" s="10" t="n">
        <f aca="false">F32*G32</f>
        <v>4</v>
      </c>
      <c r="I32" s="11" t="n">
        <f aca="false">H32*$C$2</f>
        <v>5600</v>
      </c>
      <c r="J32" s="7" t="s">
        <v>27</v>
      </c>
      <c r="K32" s="6" t="s">
        <v>22</v>
      </c>
      <c r="L32" s="6"/>
      <c r="M32" s="7" t="s">
        <v>109</v>
      </c>
    </row>
    <row r="33" customFormat="false" ht="15" hidden="false" customHeight="false" outlineLevel="0" collapsed="false">
      <c r="A33" s="6" t="s">
        <v>104</v>
      </c>
      <c r="B33" s="6" t="s">
        <v>110</v>
      </c>
      <c r="C33" s="7" t="s">
        <v>111</v>
      </c>
      <c r="D33" s="8" t="n">
        <v>1</v>
      </c>
      <c r="E33" s="8" t="n">
        <v>0</v>
      </c>
      <c r="F33" s="6" t="n">
        <f aca="false">D33+E33*$C$3</f>
        <v>1</v>
      </c>
      <c r="G33" s="9" t="n">
        <v>8</v>
      </c>
      <c r="H33" s="10" t="n">
        <f aca="false">F33*G33</f>
        <v>8</v>
      </c>
      <c r="I33" s="11" t="n">
        <f aca="false">H33*$C$2</f>
        <v>11200</v>
      </c>
      <c r="J33" s="7" t="s">
        <v>27</v>
      </c>
      <c r="K33" s="6" t="s">
        <v>32</v>
      </c>
      <c r="L33" s="6"/>
      <c r="M33" s="7" t="s">
        <v>112</v>
      </c>
    </row>
    <row r="34" customFormat="false" ht="15" hidden="false" customHeight="false" outlineLevel="0" collapsed="false">
      <c r="A34" s="6" t="s">
        <v>104</v>
      </c>
      <c r="B34" s="6" t="s">
        <v>113</v>
      </c>
      <c r="C34" s="7" t="s">
        <v>114</v>
      </c>
      <c r="D34" s="8" t="n">
        <v>1</v>
      </c>
      <c r="E34" s="8" t="n">
        <v>0</v>
      </c>
      <c r="F34" s="6" t="n">
        <f aca="false">D34+E34*$C$3</f>
        <v>1</v>
      </c>
      <c r="G34" s="9" t="n">
        <v>10</v>
      </c>
      <c r="H34" s="10" t="n">
        <f aca="false">F34*G34</f>
        <v>10</v>
      </c>
      <c r="I34" s="11" t="n">
        <f aca="false">H34*$C$2</f>
        <v>14000</v>
      </c>
      <c r="J34" s="7" t="s">
        <v>27</v>
      </c>
      <c r="K34" s="6" t="s">
        <v>22</v>
      </c>
      <c r="L34" s="6"/>
      <c r="M34" s="6" t="s">
        <v>115</v>
      </c>
    </row>
    <row r="35" customFormat="false" ht="15" hidden="false" customHeight="false" outlineLevel="0" collapsed="false">
      <c r="A35" s="6" t="s">
        <v>104</v>
      </c>
      <c r="B35" s="6" t="s">
        <v>116</v>
      </c>
      <c r="C35" s="7" t="s">
        <v>117</v>
      </c>
      <c r="D35" s="8" t="n">
        <v>1</v>
      </c>
      <c r="E35" s="8" t="n">
        <v>0</v>
      </c>
      <c r="F35" s="6" t="n">
        <f aca="false">D35+E35*$C$3</f>
        <v>1</v>
      </c>
      <c r="G35" s="9" t="n">
        <v>8</v>
      </c>
      <c r="H35" s="10" t="n">
        <f aca="false">F35*G35</f>
        <v>8</v>
      </c>
      <c r="I35" s="11" t="n">
        <f aca="false">H35*$C$2</f>
        <v>11200</v>
      </c>
      <c r="J35" s="7" t="s">
        <v>27</v>
      </c>
      <c r="K35" s="6" t="s">
        <v>32</v>
      </c>
      <c r="L35" s="6"/>
      <c r="M35" s="6"/>
    </row>
    <row r="36" customFormat="false" ht="15" hidden="false" customHeight="false" outlineLevel="0" collapsed="false">
      <c r="A36" s="6" t="s">
        <v>118</v>
      </c>
      <c r="B36" s="6" t="s">
        <v>119</v>
      </c>
      <c r="C36" s="7" t="s">
        <v>120</v>
      </c>
      <c r="D36" s="8" t="n">
        <v>1</v>
      </c>
      <c r="E36" s="8" t="n">
        <v>0</v>
      </c>
      <c r="F36" s="6" t="n">
        <f aca="false">D36+E36*$C$3</f>
        <v>1</v>
      </c>
      <c r="G36" s="9" t="n">
        <v>20</v>
      </c>
      <c r="H36" s="10" t="n">
        <f aca="false">F36*G36</f>
        <v>20</v>
      </c>
      <c r="I36" s="11" t="n">
        <f aca="false">H36*$C$2</f>
        <v>28000</v>
      </c>
      <c r="J36" s="7" t="s">
        <v>27</v>
      </c>
      <c r="K36" s="6" t="s">
        <v>22</v>
      </c>
      <c r="L36" s="6"/>
      <c r="M36" s="6" t="s">
        <v>121</v>
      </c>
    </row>
    <row r="37" customFormat="false" ht="15" hidden="false" customHeight="false" outlineLevel="0" collapsed="false">
      <c r="A37" s="6" t="s">
        <v>118</v>
      </c>
      <c r="B37" s="6" t="s">
        <v>122</v>
      </c>
      <c r="C37" s="7" t="s">
        <v>123</v>
      </c>
      <c r="D37" s="8" t="n">
        <v>1</v>
      </c>
      <c r="E37" s="8" t="n">
        <v>0</v>
      </c>
      <c r="F37" s="6" t="n">
        <f aca="false">D37+E37*$C$3</f>
        <v>1</v>
      </c>
      <c r="G37" s="9" t="n">
        <v>25</v>
      </c>
      <c r="H37" s="10" t="n">
        <f aca="false">F37*G37</f>
        <v>25</v>
      </c>
      <c r="I37" s="11" t="n">
        <f aca="false">H37*$C$2</f>
        <v>35000</v>
      </c>
      <c r="J37" s="7" t="s">
        <v>27</v>
      </c>
      <c r="K37" s="6" t="s">
        <v>22</v>
      </c>
      <c r="L37" s="6"/>
      <c r="M37" s="6" t="s">
        <v>124</v>
      </c>
    </row>
    <row r="38" customFormat="false" ht="15" hidden="false" customHeight="false" outlineLevel="0" collapsed="false">
      <c r="A38" s="6" t="s">
        <v>125</v>
      </c>
      <c r="B38" s="6" t="s">
        <v>126</v>
      </c>
      <c r="C38" s="7" t="s">
        <v>127</v>
      </c>
      <c r="D38" s="8" t="n">
        <v>1</v>
      </c>
      <c r="E38" s="8" t="n">
        <v>0</v>
      </c>
      <c r="F38" s="6" t="n">
        <f aca="false">D38+E38*$C$3</f>
        <v>1</v>
      </c>
      <c r="G38" s="9" t="n">
        <v>55</v>
      </c>
      <c r="H38" s="10" t="n">
        <f aca="false">F38*G38</f>
        <v>55</v>
      </c>
      <c r="I38" s="11" t="n">
        <f aca="false">H38*$C$2</f>
        <v>77000</v>
      </c>
      <c r="J38" s="7" t="s">
        <v>27</v>
      </c>
      <c r="K38" s="6" t="s">
        <v>45</v>
      </c>
      <c r="L38" s="6"/>
      <c r="M38" s="6" t="s">
        <v>128</v>
      </c>
    </row>
    <row r="40" customFormat="false" ht="15" hidden="false" customHeight="false" outlineLevel="0" collapsed="false">
      <c r="G40" s="13" t="s">
        <v>129</v>
      </c>
      <c r="H40" s="14" t="n">
        <f aca="false">SUM(H6:H38)</f>
        <v>864.24</v>
      </c>
      <c r="I40" s="15" t="n">
        <f aca="false">H40*$C$2</f>
        <v>1209936</v>
      </c>
    </row>
    <row r="41" customFormat="false" ht="15" hidden="false" customHeight="false" outlineLevel="0" collapsed="false">
      <c r="G41" s="13" t="s">
        <v>130</v>
      </c>
      <c r="H41" s="14" t="n">
        <f aca="false">SUMIFS(H6:H38,K6:K38,"필수")</f>
        <v>704.29</v>
      </c>
      <c r="I41" s="15" t="n">
        <f aca="false">H41*$C$2</f>
        <v>986006</v>
      </c>
    </row>
    <row r="42" customFormat="false" ht="15" hidden="false" customHeight="false" outlineLevel="0" collapsed="false">
      <c r="G42" s="13" t="s">
        <v>131</v>
      </c>
      <c r="H42" s="14" t="n">
        <f aca="false">SUMIFS(H6:H38,K6:K38,"필수")+SUMIFS(H6:H38,K6:K38,"권장")</f>
        <v>790.24</v>
      </c>
      <c r="I42" s="15" t="n">
        <f aca="false">H42*$C$2</f>
        <v>1106336</v>
      </c>
    </row>
    <row r="43" customFormat="false" ht="15" hidden="false" customHeight="false" outlineLevel="0" collapsed="false">
      <c r="G43" s="13" t="s">
        <v>132</v>
      </c>
      <c r="H43" s="16" t="n">
        <f aca="false">IFERROR(H6/SUM(H6:H38),0)</f>
        <v>0.508932703878552</v>
      </c>
    </row>
  </sheetData>
  <autoFilter ref="A5:M38"/>
  <hyperlinks>
    <hyperlink ref="L6" r:id="rId2" display="https://robotis.us/dynamixel-xl330-m288-t"/>
    <hyperlink ref="L7" r:id="rId3" display="https://emanual.robotis.com/docs/en/parts/interface/u2d2/"/>
    <hyperlink ref="L8" r:id="rId4" display="https://emanual.robotis.com/docs/en/parts/interface/u2d2_power_hub/"/>
    <hyperlink ref="L9" r:id="rId5" display="https://ameridroid.com/products/radxa-zero-3w"/>
    <hyperlink ref="L14" r:id="rId6" display="https://www.pololu.com/product/3419"/>
    <hyperlink ref="L23" r:id="rId7" display="https://www.pololu.com/product/285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  <legacy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6"/>
    <col collapsed="false" customWidth="true" hidden="false" outlineLevel="0" max="6" min="4" style="0" width="8"/>
    <col collapsed="false" customWidth="true" hidden="false" outlineLevel="0" max="7" min="7" style="0" width="9"/>
    <col collapsed="false" customWidth="true" hidden="false" outlineLevel="0" max="8" min="8" style="0" width="28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15" hidden="false" customHeight="false" outlineLevel="0" collapsed="false">
      <c r="A1" s="17" t="s">
        <v>133</v>
      </c>
      <c r="B1" s="18" t="s">
        <v>5</v>
      </c>
      <c r="C1" s="18" t="s">
        <v>8</v>
      </c>
      <c r="D1" s="17" t="s">
        <v>134</v>
      </c>
      <c r="E1" s="17" t="s">
        <v>135</v>
      </c>
      <c r="F1" s="17" t="s">
        <v>136</v>
      </c>
      <c r="G1" s="18" t="s">
        <v>137</v>
      </c>
      <c r="H1" s="18" t="s">
        <v>138</v>
      </c>
      <c r="I1" s="18" t="s">
        <v>17</v>
      </c>
      <c r="J1" s="18" t="s">
        <v>139</v>
      </c>
    </row>
    <row r="2" customFormat="false" ht="15" hidden="false" customHeight="false" outlineLevel="0" collapsed="false">
      <c r="A2" s="19" t="s">
        <v>140</v>
      </c>
      <c r="B2" s="20" t="s">
        <v>141</v>
      </c>
      <c r="C2" s="19" t="n">
        <v>1</v>
      </c>
      <c r="D2" s="19" t="n">
        <v>39.5</v>
      </c>
      <c r="E2" s="19" t="n">
        <v>46.5</v>
      </c>
      <c r="F2" s="19" t="n">
        <v>25.4</v>
      </c>
      <c r="G2" s="19" t="n">
        <v>6.69</v>
      </c>
      <c r="H2" s="19" t="s">
        <v>142</v>
      </c>
      <c r="I2" s="20" t="s">
        <v>143</v>
      </c>
      <c r="J2" s="19" t="s">
        <v>144</v>
      </c>
    </row>
    <row r="3" customFormat="false" ht="15" hidden="false" customHeight="false" outlineLevel="0" collapsed="false">
      <c r="A3" s="19" t="s">
        <v>145</v>
      </c>
      <c r="B3" s="20" t="s">
        <v>141</v>
      </c>
      <c r="C3" s="19" t="n">
        <v>1</v>
      </c>
      <c r="D3" s="19" t="n">
        <v>39.5</v>
      </c>
      <c r="E3" s="19" t="n">
        <v>36.5</v>
      </c>
      <c r="F3" s="19" t="n">
        <v>25.5</v>
      </c>
      <c r="G3" s="19" t="n">
        <v>7.88</v>
      </c>
      <c r="H3" s="19" t="s">
        <v>142</v>
      </c>
      <c r="I3" s="19"/>
      <c r="J3" s="19" t="s">
        <v>146</v>
      </c>
    </row>
    <row r="4" customFormat="false" ht="15" hidden="false" customHeight="false" outlineLevel="0" collapsed="false">
      <c r="A4" s="19" t="s">
        <v>147</v>
      </c>
      <c r="B4" s="20" t="s">
        <v>141</v>
      </c>
      <c r="C4" s="19" t="n">
        <v>1</v>
      </c>
      <c r="D4" s="19" t="n">
        <v>39.5</v>
      </c>
      <c r="E4" s="19" t="n">
        <v>46.5</v>
      </c>
      <c r="F4" s="19" t="n">
        <v>25.4</v>
      </c>
      <c r="G4" s="19" t="n">
        <v>6.69</v>
      </c>
      <c r="H4" s="19" t="s">
        <v>142</v>
      </c>
      <c r="I4" s="20" t="s">
        <v>143</v>
      </c>
      <c r="J4" s="19" t="s">
        <v>148</v>
      </c>
    </row>
    <row r="5" customFormat="false" ht="15" hidden="false" customHeight="false" outlineLevel="0" collapsed="false">
      <c r="A5" s="19" t="s">
        <v>149</v>
      </c>
      <c r="B5" s="20" t="s">
        <v>141</v>
      </c>
      <c r="C5" s="19" t="n">
        <v>1</v>
      </c>
      <c r="D5" s="19" t="n">
        <v>39.5</v>
      </c>
      <c r="E5" s="19" t="n">
        <v>36.5</v>
      </c>
      <c r="F5" s="19" t="n">
        <v>25.5</v>
      </c>
      <c r="G5" s="19" t="n">
        <v>7.88</v>
      </c>
      <c r="H5" s="19" t="s">
        <v>142</v>
      </c>
      <c r="I5" s="19"/>
      <c r="J5" s="19" t="s">
        <v>150</v>
      </c>
    </row>
    <row r="6" customFormat="false" ht="15" hidden="false" customHeight="false" outlineLevel="0" collapsed="false">
      <c r="A6" s="19" t="s">
        <v>151</v>
      </c>
      <c r="B6" s="20" t="s">
        <v>141</v>
      </c>
      <c r="C6" s="19" t="n">
        <v>1</v>
      </c>
      <c r="D6" s="19" t="n">
        <v>54.1</v>
      </c>
      <c r="E6" s="19" t="n">
        <v>3.8</v>
      </c>
      <c r="F6" s="19" t="n">
        <v>6.7</v>
      </c>
      <c r="G6" s="19" t="n">
        <v>0.46</v>
      </c>
      <c r="H6" s="19" t="s">
        <v>142</v>
      </c>
      <c r="I6" s="19"/>
      <c r="J6" s="19" t="s">
        <v>152</v>
      </c>
    </row>
    <row r="7" customFormat="false" ht="15" hidden="false" customHeight="false" outlineLevel="0" collapsed="false">
      <c r="A7" s="19" t="s">
        <v>153</v>
      </c>
      <c r="B7" s="20" t="s">
        <v>154</v>
      </c>
      <c r="C7" s="19" t="n">
        <v>2</v>
      </c>
      <c r="D7" s="19" t="n">
        <v>23</v>
      </c>
      <c r="E7" s="19" t="n">
        <v>3</v>
      </c>
      <c r="F7" s="19" t="n">
        <v>40</v>
      </c>
      <c r="G7" s="19" t="n">
        <v>0.63</v>
      </c>
      <c r="H7" s="19" t="s">
        <v>155</v>
      </c>
      <c r="I7" s="20" t="s">
        <v>156</v>
      </c>
      <c r="J7" s="19" t="s">
        <v>157</v>
      </c>
    </row>
    <row r="8" customFormat="false" ht="15" hidden="false" customHeight="false" outlineLevel="0" collapsed="false">
      <c r="A8" s="19" t="s">
        <v>158</v>
      </c>
      <c r="B8" s="20" t="s">
        <v>141</v>
      </c>
      <c r="C8" s="19" t="n">
        <v>1</v>
      </c>
      <c r="D8" s="19" t="n">
        <v>91.8</v>
      </c>
      <c r="E8" s="19" t="n">
        <v>116.7</v>
      </c>
      <c r="F8" s="19" t="n">
        <v>20.1</v>
      </c>
      <c r="G8" s="19" t="n">
        <v>23.8</v>
      </c>
      <c r="H8" s="19" t="s">
        <v>142</v>
      </c>
      <c r="I8" s="19"/>
      <c r="J8" s="19" t="s">
        <v>159</v>
      </c>
    </row>
    <row r="9" customFormat="false" ht="15" hidden="false" customHeight="false" outlineLevel="0" collapsed="false">
      <c r="A9" s="19" t="s">
        <v>160</v>
      </c>
      <c r="B9" s="20" t="s">
        <v>161</v>
      </c>
      <c r="C9" s="19" t="n">
        <v>1</v>
      </c>
      <c r="D9" s="19" t="n">
        <v>65</v>
      </c>
      <c r="E9" s="19" t="n">
        <v>30</v>
      </c>
      <c r="F9" s="19" t="n">
        <v>0.8</v>
      </c>
      <c r="G9" s="19" t="n">
        <v>1.57</v>
      </c>
      <c r="H9" s="19" t="s">
        <v>162</v>
      </c>
      <c r="I9" s="20" t="s">
        <v>163</v>
      </c>
      <c r="J9" s="19" t="s">
        <v>164</v>
      </c>
    </row>
    <row r="10" customFormat="false" ht="15" hidden="false" customHeight="false" outlineLevel="0" collapsed="false">
      <c r="A10" s="19" t="s">
        <v>165</v>
      </c>
      <c r="B10" s="20" t="s">
        <v>141</v>
      </c>
      <c r="C10" s="19" t="n">
        <v>1</v>
      </c>
      <c r="D10" s="19" t="n">
        <v>87.7</v>
      </c>
      <c r="E10" s="19" t="n">
        <v>12.5</v>
      </c>
      <c r="F10" s="19" t="n">
        <v>44.6</v>
      </c>
      <c r="G10" s="19" t="n">
        <v>5.82</v>
      </c>
      <c r="H10" s="19" t="s">
        <v>142</v>
      </c>
      <c r="I10" s="19"/>
      <c r="J10" s="19" t="s">
        <v>166</v>
      </c>
    </row>
    <row r="11" customFormat="false" ht="15" hidden="false" customHeight="false" outlineLevel="0" collapsed="false">
      <c r="A11" s="19" t="s">
        <v>167</v>
      </c>
      <c r="B11" s="20" t="s">
        <v>141</v>
      </c>
      <c r="C11" s="19" t="n">
        <v>1</v>
      </c>
      <c r="D11" s="19" t="n">
        <v>40.1</v>
      </c>
      <c r="E11" s="19" t="n">
        <v>54</v>
      </c>
      <c r="F11" s="19" t="n">
        <v>16.9</v>
      </c>
      <c r="G11" s="19" t="n">
        <v>12.18</v>
      </c>
      <c r="H11" s="19" t="s">
        <v>142</v>
      </c>
      <c r="I11" s="19"/>
      <c r="J11" s="19" t="s">
        <v>168</v>
      </c>
    </row>
    <row r="12" customFormat="false" ht="15" hidden="false" customHeight="false" outlineLevel="0" collapsed="false">
      <c r="A12" s="19" t="s">
        <v>169</v>
      </c>
      <c r="B12" s="20" t="s">
        <v>141</v>
      </c>
      <c r="C12" s="19" t="n">
        <v>1</v>
      </c>
      <c r="D12" s="19" t="n">
        <v>40.1</v>
      </c>
      <c r="E12" s="19" t="n">
        <v>54</v>
      </c>
      <c r="F12" s="19" t="n">
        <v>16.9</v>
      </c>
      <c r="G12" s="19" t="n">
        <v>12.18</v>
      </c>
      <c r="H12" s="19" t="s">
        <v>142</v>
      </c>
      <c r="I12" s="19"/>
      <c r="J12" s="19" t="s">
        <v>170</v>
      </c>
    </row>
    <row r="13" customFormat="false" ht="15" hidden="false" customHeight="false" outlineLevel="0" collapsed="false">
      <c r="A13" s="19" t="s">
        <v>171</v>
      </c>
      <c r="B13" s="20" t="s">
        <v>141</v>
      </c>
      <c r="C13" s="19" t="n">
        <v>2</v>
      </c>
      <c r="D13" s="19" t="n">
        <v>32.5</v>
      </c>
      <c r="E13" s="19" t="n">
        <v>34.5</v>
      </c>
      <c r="F13" s="19" t="n">
        <v>19</v>
      </c>
      <c r="G13" s="19" t="n">
        <v>4.52</v>
      </c>
      <c r="H13" s="19" t="s">
        <v>142</v>
      </c>
      <c r="I13" s="19"/>
      <c r="J13" s="19" t="s">
        <v>172</v>
      </c>
    </row>
    <row r="14" customFormat="false" ht="15" hidden="false" customHeight="false" outlineLevel="0" collapsed="false">
      <c r="A14" s="19" t="s">
        <v>173</v>
      </c>
      <c r="B14" s="20" t="s">
        <v>141</v>
      </c>
      <c r="C14" s="19" t="n">
        <v>1</v>
      </c>
      <c r="D14" s="19" t="n">
        <v>91.4</v>
      </c>
      <c r="E14" s="19" t="n">
        <v>68.7</v>
      </c>
      <c r="F14" s="19" t="n">
        <v>29.4</v>
      </c>
      <c r="G14" s="19" t="n">
        <v>9.36</v>
      </c>
      <c r="H14" s="19" t="s">
        <v>142</v>
      </c>
      <c r="I14" s="19"/>
      <c r="J14" s="19" t="s">
        <v>174</v>
      </c>
    </row>
    <row r="15" customFormat="false" ht="15" hidden="false" customHeight="false" outlineLevel="0" collapsed="false">
      <c r="A15" s="19" t="s">
        <v>175</v>
      </c>
      <c r="B15" s="20" t="s">
        <v>176</v>
      </c>
      <c r="C15" s="19" t="n">
        <v>1</v>
      </c>
      <c r="D15" s="19" t="n">
        <v>87.7</v>
      </c>
      <c r="E15" s="19" t="n">
        <v>32.2</v>
      </c>
      <c r="F15" s="19" t="n">
        <v>8.4</v>
      </c>
      <c r="G15" s="19" t="n">
        <v>18.6</v>
      </c>
      <c r="H15" s="19" t="s">
        <v>177</v>
      </c>
      <c r="I15" s="20" t="s">
        <v>178</v>
      </c>
      <c r="J15" s="19" t="s">
        <v>179</v>
      </c>
    </row>
    <row r="16" customFormat="false" ht="15" hidden="false" customHeight="false" outlineLevel="0" collapsed="false">
      <c r="A16" s="19" t="s">
        <v>180</v>
      </c>
      <c r="B16" s="20" t="s">
        <v>141</v>
      </c>
      <c r="C16" s="19" t="n">
        <v>1</v>
      </c>
      <c r="D16" s="19" t="n">
        <v>33.7</v>
      </c>
      <c r="E16" s="19" t="n">
        <v>80.9</v>
      </c>
      <c r="F16" s="19" t="n">
        <v>41.7</v>
      </c>
      <c r="G16" s="19" t="n">
        <v>11.39</v>
      </c>
      <c r="H16" s="19" t="s">
        <v>142</v>
      </c>
      <c r="I16" s="19"/>
      <c r="J16" s="19" t="s">
        <v>181</v>
      </c>
    </row>
    <row r="17" customFormat="false" ht="15" hidden="false" customHeight="false" outlineLevel="0" collapsed="false">
      <c r="A17" s="19" t="s">
        <v>182</v>
      </c>
      <c r="B17" s="20" t="s">
        <v>141</v>
      </c>
      <c r="C17" s="19" t="n">
        <v>2</v>
      </c>
      <c r="D17" s="19" t="n">
        <v>8</v>
      </c>
      <c r="E17" s="19" t="n">
        <v>20</v>
      </c>
      <c r="F17" s="19" t="n">
        <v>58</v>
      </c>
      <c r="G17" s="19" t="n">
        <v>3.41</v>
      </c>
      <c r="H17" s="19" t="s">
        <v>142</v>
      </c>
      <c r="I17" s="19"/>
      <c r="J17" s="19" t="s">
        <v>183</v>
      </c>
    </row>
    <row r="18" customFormat="false" ht="15" hidden="false" customHeight="false" outlineLevel="0" collapsed="false">
      <c r="A18" s="19" t="s">
        <v>184</v>
      </c>
      <c r="B18" s="20" t="s">
        <v>185</v>
      </c>
      <c r="C18" s="19" t="n">
        <v>1</v>
      </c>
      <c r="D18" s="19" t="n">
        <v>16.9</v>
      </c>
      <c r="E18" s="19" t="n">
        <v>18.9</v>
      </c>
      <c r="F18" s="19" t="n">
        <v>16.9</v>
      </c>
      <c r="G18" s="19" t="n">
        <v>2.8</v>
      </c>
      <c r="H18" s="19" t="s">
        <v>186</v>
      </c>
      <c r="I18" s="19" t="s">
        <v>187</v>
      </c>
      <c r="J18" s="19" t="s">
        <v>188</v>
      </c>
    </row>
    <row r="19" customFormat="false" ht="15" hidden="false" customHeight="false" outlineLevel="0" collapsed="false">
      <c r="A19" s="19" t="s">
        <v>189</v>
      </c>
      <c r="B19" s="20" t="s">
        <v>141</v>
      </c>
      <c r="C19" s="19" t="n">
        <v>1</v>
      </c>
      <c r="D19" s="19" t="n">
        <v>24</v>
      </c>
      <c r="E19" s="19" t="n">
        <v>14.8</v>
      </c>
      <c r="F19" s="19" t="n">
        <v>16</v>
      </c>
      <c r="G19" s="19" t="n">
        <v>1.1</v>
      </c>
      <c r="H19" s="19" t="s">
        <v>142</v>
      </c>
      <c r="I19" s="19"/>
      <c r="J19" s="19" t="s">
        <v>190</v>
      </c>
    </row>
    <row r="20" customFormat="false" ht="15" hidden="false" customHeight="false" outlineLevel="0" collapsed="false">
      <c r="A20" s="19" t="s">
        <v>191</v>
      </c>
      <c r="B20" s="20" t="s">
        <v>141</v>
      </c>
      <c r="C20" s="19" t="n">
        <v>1</v>
      </c>
      <c r="D20" s="19" t="n">
        <v>73.5</v>
      </c>
      <c r="E20" s="19" t="n">
        <v>54.2</v>
      </c>
      <c r="F20" s="19" t="n">
        <v>18.8</v>
      </c>
      <c r="G20" s="19" t="n">
        <v>7.52</v>
      </c>
      <c r="H20" s="19" t="s">
        <v>142</v>
      </c>
      <c r="I20" s="19"/>
      <c r="J20" s="19" t="s">
        <v>192</v>
      </c>
    </row>
    <row r="21" customFormat="false" ht="15" hidden="false" customHeight="false" outlineLevel="0" collapsed="false">
      <c r="A21" s="19" t="s">
        <v>193</v>
      </c>
      <c r="B21" s="20" t="s">
        <v>154</v>
      </c>
      <c r="C21" s="19" t="n">
        <v>2</v>
      </c>
      <c r="D21" s="19" t="n">
        <v>2</v>
      </c>
      <c r="E21" s="19" t="n">
        <v>20</v>
      </c>
      <c r="F21" s="19" t="n">
        <v>11</v>
      </c>
      <c r="G21" s="19" t="n">
        <v>0.4</v>
      </c>
      <c r="H21" s="19" t="s">
        <v>194</v>
      </c>
      <c r="I21" s="19"/>
      <c r="J21" s="19" t="s">
        <v>195</v>
      </c>
    </row>
    <row r="22" customFormat="false" ht="15" hidden="false" customHeight="false" outlineLevel="0" collapsed="false">
      <c r="A22" s="19" t="s">
        <v>196</v>
      </c>
      <c r="B22" s="20" t="s">
        <v>141</v>
      </c>
      <c r="C22" s="19" t="n">
        <v>1</v>
      </c>
      <c r="D22" s="19" t="n">
        <v>35</v>
      </c>
      <c r="E22" s="19" t="n">
        <v>18</v>
      </c>
      <c r="F22" s="19" t="n">
        <v>27.7</v>
      </c>
      <c r="G22" s="19" t="n">
        <v>4.11</v>
      </c>
      <c r="H22" s="19" t="s">
        <v>142</v>
      </c>
      <c r="I22" s="19"/>
      <c r="J22" s="19" t="s">
        <v>197</v>
      </c>
    </row>
    <row r="23" customFormat="false" ht="15" hidden="false" customHeight="false" outlineLevel="0" collapsed="false">
      <c r="A23" s="19" t="s">
        <v>198</v>
      </c>
      <c r="B23" s="20" t="s">
        <v>141</v>
      </c>
      <c r="C23" s="19" t="n">
        <v>1</v>
      </c>
      <c r="D23" s="19" t="n">
        <v>30</v>
      </c>
      <c r="E23" s="19" t="n">
        <v>9.5</v>
      </c>
      <c r="F23" s="19" t="n">
        <v>30</v>
      </c>
      <c r="G23" s="19" t="n">
        <v>4.25</v>
      </c>
      <c r="H23" s="19" t="s">
        <v>142</v>
      </c>
      <c r="I23" s="19"/>
      <c r="J23" s="19" t="s">
        <v>199</v>
      </c>
    </row>
    <row r="24" customFormat="false" ht="15" hidden="false" customHeight="false" outlineLevel="0" collapsed="false">
      <c r="A24" s="19" t="s">
        <v>200</v>
      </c>
      <c r="B24" s="20" t="s">
        <v>185</v>
      </c>
      <c r="C24" s="19" t="n">
        <v>1</v>
      </c>
      <c r="D24" s="19" t="n">
        <v>38.6</v>
      </c>
      <c r="E24" s="19" t="n">
        <v>20.6</v>
      </c>
      <c r="F24" s="19" t="n">
        <v>70.8</v>
      </c>
      <c r="G24" s="19" t="n">
        <v>51.56</v>
      </c>
      <c r="H24" s="19" t="s">
        <v>201</v>
      </c>
      <c r="I24" s="20" t="s">
        <v>202</v>
      </c>
      <c r="J24" s="19" t="s">
        <v>203</v>
      </c>
    </row>
    <row r="25" customFormat="false" ht="15" hidden="false" customHeight="false" outlineLevel="0" collapsed="false">
      <c r="A25" s="19" t="s">
        <v>204</v>
      </c>
      <c r="B25" s="20" t="s">
        <v>185</v>
      </c>
      <c r="C25" s="19" t="n">
        <v>1</v>
      </c>
      <c r="D25" s="19" t="n">
        <v>65</v>
      </c>
      <c r="E25" s="19" t="n">
        <v>1.6</v>
      </c>
      <c r="F25" s="19" t="n">
        <v>30</v>
      </c>
      <c r="G25" s="19" t="n">
        <v>3.02</v>
      </c>
      <c r="H25" s="19" t="s">
        <v>205</v>
      </c>
      <c r="I25" s="20" t="s">
        <v>206</v>
      </c>
      <c r="J25" s="19" t="s">
        <v>207</v>
      </c>
    </row>
    <row r="26" customFormat="false" ht="15" hidden="false" customHeight="false" outlineLevel="0" collapsed="false">
      <c r="A26" s="19" t="s">
        <v>208</v>
      </c>
      <c r="B26" s="20" t="s">
        <v>141</v>
      </c>
      <c r="C26" s="19" t="n">
        <v>1</v>
      </c>
      <c r="D26" s="19" t="n">
        <v>54.5</v>
      </c>
      <c r="E26" s="19" t="n">
        <v>17</v>
      </c>
      <c r="F26" s="19" t="n">
        <v>83.5</v>
      </c>
      <c r="G26" s="19" t="n">
        <v>10.49</v>
      </c>
      <c r="H26" s="19" t="s">
        <v>142</v>
      </c>
      <c r="I26" s="19"/>
      <c r="J26" s="19" t="s">
        <v>209</v>
      </c>
    </row>
    <row r="27" customFormat="false" ht="15" hidden="false" customHeight="false" outlineLevel="0" collapsed="false">
      <c r="A27" s="19" t="s">
        <v>210</v>
      </c>
      <c r="B27" s="20" t="s">
        <v>141</v>
      </c>
      <c r="C27" s="19" t="n">
        <v>1</v>
      </c>
      <c r="D27" s="19" t="n">
        <v>31.8</v>
      </c>
      <c r="E27" s="19" t="n">
        <v>80.9</v>
      </c>
      <c r="F27" s="19" t="n">
        <v>41.7</v>
      </c>
      <c r="G27" s="19" t="n">
        <v>11.22</v>
      </c>
      <c r="H27" s="19" t="s">
        <v>142</v>
      </c>
      <c r="I27" s="19"/>
      <c r="J27" s="19" t="s">
        <v>211</v>
      </c>
    </row>
    <row r="28" customFormat="false" ht="15" hidden="false" customHeight="false" outlineLevel="0" collapsed="false">
      <c r="A28" s="19" t="s">
        <v>212</v>
      </c>
      <c r="B28" s="20" t="s">
        <v>141</v>
      </c>
      <c r="C28" s="19" t="n">
        <v>4</v>
      </c>
      <c r="D28" s="19" t="n">
        <v>7.6</v>
      </c>
      <c r="E28" s="19" t="n">
        <v>20.2</v>
      </c>
      <c r="F28" s="19" t="n">
        <v>20.2</v>
      </c>
      <c r="G28" s="19" t="n">
        <v>1.03</v>
      </c>
      <c r="H28" s="19" t="s">
        <v>142</v>
      </c>
      <c r="I28" s="20" t="s">
        <v>213</v>
      </c>
      <c r="J28" s="19" t="s">
        <v>214</v>
      </c>
    </row>
    <row r="29" customFormat="false" ht="15" hidden="false" customHeight="false" outlineLevel="0" collapsed="false">
      <c r="A29" s="19" t="s">
        <v>215</v>
      </c>
      <c r="B29" s="20" t="s">
        <v>141</v>
      </c>
      <c r="C29" s="19" t="n">
        <v>2</v>
      </c>
      <c r="D29" s="19" t="n">
        <v>40.5</v>
      </c>
      <c r="E29" s="19" t="n">
        <v>73</v>
      </c>
      <c r="F29" s="19" t="n">
        <v>30.4</v>
      </c>
      <c r="G29" s="19" t="n">
        <v>11.81</v>
      </c>
      <c r="H29" s="19" t="s">
        <v>142</v>
      </c>
      <c r="I29" s="20" t="s">
        <v>213</v>
      </c>
      <c r="J29" s="19" t="s">
        <v>216</v>
      </c>
    </row>
    <row r="30" customFormat="false" ht="15" hidden="false" customHeight="false" outlineLevel="0" collapsed="false">
      <c r="A30" s="19" t="s">
        <v>217</v>
      </c>
      <c r="B30" s="20" t="s">
        <v>185</v>
      </c>
      <c r="C30" s="19" t="n">
        <v>11</v>
      </c>
      <c r="D30" s="19" t="n">
        <v>22</v>
      </c>
      <c r="E30" s="19" t="n">
        <v>22</v>
      </c>
      <c r="F30" s="19" t="n">
        <v>4</v>
      </c>
      <c r="G30" s="19" t="n">
        <v>0.49</v>
      </c>
      <c r="H30" s="20" t="s">
        <v>218</v>
      </c>
      <c r="I30" s="20" t="s">
        <v>219</v>
      </c>
      <c r="J30" s="19" t="s">
        <v>220</v>
      </c>
    </row>
    <row r="31" customFormat="false" ht="15" hidden="false" customHeight="false" outlineLevel="0" collapsed="false">
      <c r="A31" s="19" t="s">
        <v>221</v>
      </c>
      <c r="B31" s="20" t="s">
        <v>185</v>
      </c>
      <c r="C31" s="19" t="n">
        <v>3</v>
      </c>
      <c r="D31" s="19" t="n">
        <v>15</v>
      </c>
      <c r="E31" s="19" t="n">
        <v>15</v>
      </c>
      <c r="F31" s="19" t="n">
        <v>3</v>
      </c>
      <c r="G31" s="19" t="n">
        <v>0.19</v>
      </c>
      <c r="H31" s="20" t="s">
        <v>222</v>
      </c>
      <c r="I31" s="20" t="s">
        <v>223</v>
      </c>
      <c r="J31" s="19" t="s">
        <v>224</v>
      </c>
    </row>
    <row r="32" customFormat="false" ht="15" hidden="false" customHeight="false" outlineLevel="0" collapsed="false">
      <c r="A32" s="19" t="s">
        <v>225</v>
      </c>
      <c r="B32" s="20" t="s">
        <v>176</v>
      </c>
      <c r="C32" s="19" t="n">
        <v>1</v>
      </c>
      <c r="D32" s="19" t="n">
        <v>87.8</v>
      </c>
      <c r="E32" s="19" t="n">
        <v>32.6</v>
      </c>
      <c r="F32" s="19" t="n">
        <v>3.3</v>
      </c>
      <c r="G32" s="19" t="n">
        <v>2.7</v>
      </c>
      <c r="H32" s="19" t="s">
        <v>177</v>
      </c>
      <c r="I32" s="20" t="s">
        <v>226</v>
      </c>
      <c r="J32" s="19" t="s">
        <v>227</v>
      </c>
    </row>
    <row r="33" customFormat="false" ht="15" hidden="false" customHeight="false" outlineLevel="0" collapsed="false">
      <c r="A33" s="19" t="s">
        <v>228</v>
      </c>
      <c r="B33" s="20" t="s">
        <v>176</v>
      </c>
      <c r="C33" s="19" t="n">
        <v>1</v>
      </c>
      <c r="D33" s="19" t="n">
        <v>41.1</v>
      </c>
      <c r="E33" s="19" t="n">
        <v>54</v>
      </c>
      <c r="F33" s="19" t="n">
        <v>12.9</v>
      </c>
      <c r="G33" s="19" t="n">
        <v>6.25</v>
      </c>
      <c r="H33" s="19" t="s">
        <v>177</v>
      </c>
      <c r="I33" s="20" t="s">
        <v>229</v>
      </c>
      <c r="J33" s="19" t="s">
        <v>230</v>
      </c>
    </row>
    <row r="34" customFormat="false" ht="15" hidden="false" customHeight="false" outlineLevel="0" collapsed="false">
      <c r="A34" s="19" t="s">
        <v>231</v>
      </c>
      <c r="B34" s="20" t="s">
        <v>176</v>
      </c>
      <c r="C34" s="19" t="n">
        <v>1</v>
      </c>
      <c r="D34" s="19" t="n">
        <v>41.1</v>
      </c>
      <c r="E34" s="19" t="n">
        <v>54</v>
      </c>
      <c r="F34" s="19" t="n">
        <v>12.9</v>
      </c>
      <c r="G34" s="19" t="n">
        <v>6.25</v>
      </c>
      <c r="H34" s="19" t="s">
        <v>177</v>
      </c>
      <c r="I34" s="20" t="s">
        <v>229</v>
      </c>
      <c r="J34" s="19" t="s">
        <v>232</v>
      </c>
    </row>
    <row r="35" customFormat="false" ht="15" hidden="false" customHeight="false" outlineLevel="0" collapsed="false">
      <c r="A35" s="19" t="s">
        <v>233</v>
      </c>
      <c r="B35" s="20" t="s">
        <v>185</v>
      </c>
      <c r="C35" s="19" t="n">
        <v>1</v>
      </c>
      <c r="D35" s="19" t="n">
        <v>35</v>
      </c>
      <c r="E35" s="19" t="n">
        <v>25</v>
      </c>
      <c r="F35" s="19" t="n">
        <v>7</v>
      </c>
      <c r="G35" s="19" t="n">
        <v>6.13</v>
      </c>
      <c r="H35" s="19" t="s">
        <v>234</v>
      </c>
      <c r="I35" s="19"/>
      <c r="J35" s="19" t="s">
        <v>235</v>
      </c>
    </row>
    <row r="36" customFormat="false" ht="15" hidden="false" customHeight="false" outlineLevel="0" collapsed="false">
      <c r="A36" s="19" t="s">
        <v>236</v>
      </c>
      <c r="B36" s="20" t="s">
        <v>176</v>
      </c>
      <c r="C36" s="19" t="n">
        <v>4</v>
      </c>
      <c r="D36" s="19" t="n">
        <v>7.6</v>
      </c>
      <c r="E36" s="19" t="n">
        <v>30</v>
      </c>
      <c r="F36" s="19" t="n">
        <v>30</v>
      </c>
      <c r="G36" s="19" t="n">
        <v>2.81</v>
      </c>
      <c r="H36" s="19" t="s">
        <v>177</v>
      </c>
      <c r="I36" s="20" t="s">
        <v>237</v>
      </c>
      <c r="J36" s="19" t="s">
        <v>238</v>
      </c>
    </row>
    <row r="37" customFormat="false" ht="15" hidden="false" customHeight="false" outlineLevel="0" collapsed="false">
      <c r="A37" s="19" t="s">
        <v>239</v>
      </c>
      <c r="B37" s="20" t="s">
        <v>141</v>
      </c>
      <c r="C37" s="19" t="n">
        <v>1</v>
      </c>
      <c r="D37" s="19" t="n">
        <v>91.8</v>
      </c>
      <c r="E37" s="19" t="n">
        <v>122.7</v>
      </c>
      <c r="F37" s="19" t="n">
        <v>46.3</v>
      </c>
      <c r="G37" s="19" t="n">
        <v>29.87</v>
      </c>
      <c r="H37" s="19" t="s">
        <v>142</v>
      </c>
      <c r="I37" s="19"/>
      <c r="J37" s="19" t="s">
        <v>240</v>
      </c>
    </row>
    <row r="38" customFormat="false" ht="15" hidden="false" customHeight="false" outlineLevel="0" collapsed="false">
      <c r="A38" s="19" t="s">
        <v>241</v>
      </c>
      <c r="B38" s="20" t="s">
        <v>154</v>
      </c>
      <c r="C38" s="19" t="n">
        <v>1</v>
      </c>
      <c r="D38" s="19" t="n">
        <v>57</v>
      </c>
      <c r="E38" s="19" t="n">
        <v>36</v>
      </c>
      <c r="F38" s="19" t="n">
        <v>3</v>
      </c>
      <c r="G38" s="19" t="n">
        <v>1.42</v>
      </c>
      <c r="H38" s="19" t="s">
        <v>155</v>
      </c>
      <c r="I38" s="20" t="s">
        <v>242</v>
      </c>
      <c r="J38" s="19" t="s">
        <v>243</v>
      </c>
    </row>
    <row r="39" customFormat="false" ht="15" hidden="false" customHeight="false" outlineLevel="0" collapsed="false">
      <c r="A39" s="19" t="s">
        <v>244</v>
      </c>
      <c r="B39" s="20" t="s">
        <v>141</v>
      </c>
      <c r="C39" s="19" t="n">
        <v>1</v>
      </c>
      <c r="D39" s="19" t="n">
        <v>28</v>
      </c>
      <c r="E39" s="19" t="n">
        <v>47.7</v>
      </c>
      <c r="F39" s="19" t="n">
        <v>61</v>
      </c>
      <c r="G39" s="19" t="n">
        <v>4.15</v>
      </c>
      <c r="H39" s="19" t="s">
        <v>142</v>
      </c>
      <c r="I39" s="19"/>
      <c r="J39" s="19" t="s">
        <v>245</v>
      </c>
    </row>
    <row r="40" customFormat="false" ht="15" hidden="false" customHeight="false" outlineLevel="0" collapsed="false">
      <c r="A40" s="19" t="s">
        <v>246</v>
      </c>
      <c r="B40" s="20" t="s">
        <v>141</v>
      </c>
      <c r="C40" s="19" t="n">
        <v>1</v>
      </c>
      <c r="D40" s="19" t="n">
        <v>28</v>
      </c>
      <c r="E40" s="19" t="n">
        <v>47.7</v>
      </c>
      <c r="F40" s="19" t="n">
        <v>61</v>
      </c>
      <c r="G40" s="19" t="n">
        <v>4.15</v>
      </c>
      <c r="H40" s="19" t="s">
        <v>142</v>
      </c>
      <c r="I40" s="19"/>
      <c r="J40" s="19" t="s">
        <v>247</v>
      </c>
    </row>
    <row r="41" customFormat="false" ht="15" hidden="false" customHeight="false" outlineLevel="0" collapsed="false">
      <c r="A41" s="19" t="s">
        <v>248</v>
      </c>
      <c r="B41" s="20" t="s">
        <v>249</v>
      </c>
      <c r="C41" s="19" t="n">
        <v>2</v>
      </c>
      <c r="D41" s="19" t="n">
        <v>1</v>
      </c>
      <c r="E41" s="19" t="n">
        <v>45</v>
      </c>
      <c r="F41" s="19" t="n">
        <v>58.1</v>
      </c>
      <c r="G41" s="19" t="n">
        <v>0.75</v>
      </c>
      <c r="H41" s="19" t="s">
        <v>250</v>
      </c>
      <c r="I41" s="20" t="s">
        <v>251</v>
      </c>
      <c r="J41" s="19" t="s">
        <v>252</v>
      </c>
    </row>
    <row r="42" customFormat="false" ht="15" hidden="false" customHeight="false" outlineLevel="0" collapsed="false">
      <c r="A42" s="19" t="s">
        <v>253</v>
      </c>
      <c r="B42" s="20" t="s">
        <v>185</v>
      </c>
      <c r="C42" s="19" t="n">
        <v>15</v>
      </c>
      <c r="D42" s="19" t="n">
        <v>29</v>
      </c>
      <c r="E42" s="19" t="n">
        <v>20</v>
      </c>
      <c r="F42" s="19" t="n">
        <v>34</v>
      </c>
      <c r="G42" s="19" t="n">
        <v>15.68</v>
      </c>
      <c r="H42" s="19" t="s">
        <v>20</v>
      </c>
      <c r="I42" s="20" t="s">
        <v>254</v>
      </c>
      <c r="J42" s="19" t="s">
        <v>255</v>
      </c>
    </row>
    <row r="43" customFormat="false" ht="15" hidden="false" customHeight="false" outlineLevel="0" collapsed="false">
      <c r="A43" s="19" t="s">
        <v>256</v>
      </c>
      <c r="B43" s="20" t="s">
        <v>141</v>
      </c>
      <c r="C43" s="19" t="n">
        <v>2</v>
      </c>
      <c r="D43" s="19" t="n">
        <v>23</v>
      </c>
      <c r="E43" s="19" t="n">
        <v>25.8</v>
      </c>
      <c r="F43" s="19" t="n">
        <v>20.5</v>
      </c>
      <c r="G43" s="19" t="n">
        <v>2.82</v>
      </c>
      <c r="H43" s="19" t="s">
        <v>142</v>
      </c>
      <c r="I43" s="19"/>
      <c r="J43" s="19" t="s">
        <v>257</v>
      </c>
    </row>
    <row r="44" customFormat="false" ht="15" hidden="false" customHeight="false" outlineLevel="0" collapsed="false">
      <c r="A44" s="19" t="s">
        <v>258</v>
      </c>
      <c r="B44" s="20" t="s">
        <v>141</v>
      </c>
      <c r="C44" s="19" t="n">
        <v>1</v>
      </c>
      <c r="D44" s="19" t="n">
        <v>34</v>
      </c>
      <c r="E44" s="19" t="n">
        <v>35.9</v>
      </c>
      <c r="F44" s="19" t="n">
        <v>22.5</v>
      </c>
      <c r="G44" s="19" t="n">
        <v>4.56</v>
      </c>
      <c r="H44" s="19" t="s">
        <v>142</v>
      </c>
      <c r="I44" s="19"/>
      <c r="J44" s="19" t="s">
        <v>259</v>
      </c>
    </row>
    <row r="46" customFormat="false" ht="15" hidden="false" customHeight="false" outlineLevel="0" collapsed="false">
      <c r="A46" s="4" t="s">
        <v>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2026-10-29T03:52:42Z</dcterms:created>
  <dc:creator>openpyxl</dc:creator>
  <dc:description/>
  <dc:language>en-US</dc:language>
  <cp:lastModifiedBy/>
  <dcterms:modified xsi:type="dcterms:W3CDTF">2026-10-29T03:52:42Z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