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비교" sheetId="1" state="visible" r:id="rId1"/>
    <sheet xmlns:r="http://schemas.openxmlformats.org/officeDocument/2006/relationships" name="오리지널" sheetId="2" state="visible" r:id="rId2"/>
    <sheet xmlns:r="http://schemas.openxmlformats.org/officeDocument/2006/relationships" name="저렴한 버전" sheetId="3" state="visible" r:id="rId3"/>
    <sheet xmlns:r="http://schemas.openxmlformats.org/officeDocument/2006/relationships" name="일반 서보 버전" sheetId="4" state="visible" r:id="rId4"/>
    <sheet xmlns:r="http://schemas.openxmlformats.org/officeDocument/2006/relationships" name="출력·부품 치수" sheetId="5" state="visible" r:id="rId5"/>
  </sheets>
  <definedNames>
    <definedName name="_xlnm._FilterDatabase" localSheetId="1" hidden="1">'오리지널'!$A$5:$P$37</definedName>
    <definedName name="_xlnm._FilterDatabase" localSheetId="2" hidden="1">'저렴한 버전'!$A$5:$P$28</definedName>
    <definedName name="_xlnm._FilterDatabase" localSheetId="3" hidden="1">'일반 서보 버전'!$A$5:$P$26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₩#,##0"/>
    <numFmt numFmtId="165" formatCode="0.0%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color rgb="000563C1"/>
      <sz val="10"/>
      <u val="single"/>
    </font>
    <font>
      <name val="Arial"/>
      <b val="1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DE9E7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BBBBBB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5" fillId="4" borderId="0" pivotButton="0" quotePrefix="0" xfId="0"/>
    <xf numFmtId="0" fontId="3" fillId="2" borderId="0" pivotButton="0" quotePrefix="0" xfId="0"/>
    <xf numFmtId="164" fontId="4" fillId="0" borderId="0" pivotButton="0" quotePrefix="0" xfId="0"/>
    <xf numFmtId="0" fontId="7" fillId="0" borderId="0" pivotButton="0" quotePrefix="0" xfId="0"/>
    <xf numFmtId="164" fontId="7" fillId="0" borderId="0" pivotButton="0" quotePrefix="0" xfId="0"/>
    <xf numFmtId="0" fontId="4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3" fontId="5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6" fillId="0" borderId="1" applyAlignment="1" pivotButton="0" quotePrefix="0" xfId="0">
      <alignment vertical="top"/>
    </xf>
    <xf numFmtId="0" fontId="4" fillId="3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/>
    </xf>
    <xf numFmtId="4" fontId="5" fillId="3" borderId="1" applyAlignment="1" pivotButton="0" quotePrefix="0" xfId="0">
      <alignment vertical="top"/>
    </xf>
    <xf numFmtId="164" fontId="4" fillId="3" borderId="1" applyAlignment="1" pivotButton="0" quotePrefix="0" xfId="0">
      <alignment vertical="top"/>
    </xf>
    <xf numFmtId="0" fontId="6" fillId="3" borderId="1" applyAlignment="1" pivotButton="0" quotePrefix="0" xfId="0">
      <alignment vertical="top"/>
    </xf>
    <xf numFmtId="4" fontId="5" fillId="0" borderId="1" applyAlignment="1" pivotButton="0" quotePrefix="0" xfId="0">
      <alignment vertical="top"/>
    </xf>
    <xf numFmtId="165" fontId="7" fillId="0" borderId="0" pivotButton="0" quotePrefix="0" xfId="0"/>
    <xf numFmtId="3" fontId="5" fillId="3" borderId="1" applyAlignment="1" pivotButton="0" quotePrefix="0" xfId="0">
      <alignment vertical="top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build_bom.py</author>
  </authors>
  <commentList>
    <comment ref="C4" authorId="0" shapeId="0">
      <text>
        <t>가정값. 결제 시점 환율로 바꾸세요. USD 항목에만 적용.</t>
      </text>
    </comment>
    <comment ref="C5" authorId="0" shapeId="0">
      <text>
        <t>오리지널·일반 서보 버전의 예비 부품에 적용 (저렴한 버전은 예비 0).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hyperlink" Target="https://www.robotis.com/shop/item.php?it_id=902-0163-000" TargetMode="External" Id="rId1"/><Relationship Type="http://schemas.openxmlformats.org/officeDocument/2006/relationships/hyperlink" Target="https://www.robotis.com/shop/item.php?it_id=902-0132-000" TargetMode="External" Id="rId2"/><Relationship Type="http://schemas.openxmlformats.org/officeDocument/2006/relationships/hyperlink" Target="https://www.robotis.com/shop/list.php?ca_id=202030" TargetMode="External" Id="rId3"/><Relationship Type="http://schemas.openxmlformats.org/officeDocument/2006/relationships/hyperlink" Target="https://www.robotis.com/shop/list.php?ca_id=202030" TargetMode="External" Id="rId4"/><Relationship Type="http://schemas.openxmlformats.org/officeDocument/2006/relationships/hyperlink" Target="https://arace.tech/products/radxa-zero-3w" TargetMode="External" Id="rId5"/><Relationship Type="http://schemas.openxmlformats.org/officeDocument/2006/relationships/hyperlink" Target="https://www.aliexpress.us/item/3256806829446736.html" TargetMode="External" Id="rId6"/><Relationship Type="http://schemas.openxmlformats.org/officeDocument/2006/relationships/hyperlink" Target="https://www.sparkfun.com/sparkfun-6dof-imu-breakout-lsm6dsv16x-qwiic.html" TargetMode="External" Id="rId7"/><Relationship Type="http://schemas.openxmlformats.org/officeDocument/2006/relationships/hyperlink" Target="https://search.shopping.naver.com/search/all?query=ESP32-C3+SuperMini&amp;sort=price_asc" TargetMode="External" Id="rId8"/><Relationship Type="http://schemas.openxmlformats.org/officeDocument/2006/relationships/hyperlink" Target="https://www.digikey.kr/en/products/detail/pololu/3419/22310072" TargetMode="External" Id="rId9"/><Relationship Type="http://schemas.openxmlformats.org/officeDocument/2006/relationships/hyperlink" Target="https://www.aliexpress.com/w/wholesale-IMX219-M12-camera-module.html?SortType=price_asc" TargetMode="External" Id="rId10"/><Relationship Type="http://schemas.openxmlformats.org/officeDocument/2006/relationships/hyperlink" Target="https://www.aliexpress.com/w/wholesale-22pin-to-15pin-CSI-cable.html?SortType=price_asc" TargetMode="External" Id="rId11"/><Relationship Type="http://schemas.openxmlformats.org/officeDocument/2006/relationships/hyperlink" Target="https://www.lcsc.com/search?q=TLV320AIC3104" TargetMode="External" Id="rId12"/><Relationship Type="http://schemas.openxmlformats.org/officeDocument/2006/relationships/hyperlink" Target="https://search.shopping.naver.com/search/all?query=%EC%86%8C%ED%98%95+%EC%8A%A4%ED%94%BC%EC%BB%A4+8%EC%98%B4+1W+3525&amp;sort=price_asc" TargetMode="External" Id="rId13"/><Relationship Type="http://schemas.openxmlformats.org/officeDocument/2006/relationships/hyperlink" Target="https://search.shopping.naver.com/search/all?query=MEMS+%EB%A7%88%EC%9D%B4%ED%81%AC+%EB%AA%A8%EB%93%88&amp;sort=price_asc" TargetMode="External" Id="rId14"/><Relationship Type="http://schemas.openxmlformats.org/officeDocument/2006/relationships/hyperlink" Target="https://search.shopping.naver.com/search/all?query=NP-F550+%ED%98%B8%ED%99%98+%EB%B0%B0%ED%84%B0%EB%A6%AC+%EC%B6%A9%EC%A0%84%EA%B8%B0+%EC%84%B8%ED%8A%B8&amp;sort=price_asc" TargetMode="External" Id="rId15"/><Relationship Type="http://schemas.openxmlformats.org/officeDocument/2006/relationships/hyperlink" Target="https://www.aliexpress.com/w/wholesale-NP-F-battery-plate-holder.html?SortType=price_asc" TargetMode="External" Id="rId16"/><Relationship Type="http://schemas.openxmlformats.org/officeDocument/2006/relationships/hyperlink" Target="https://search.shopping.naver.com/search/all?query=MP1584EN+%EA%B0%95%EC%95%95+%EB%AA%A8%EB%93%88&amp;sort=price_asc" TargetMode="External" Id="rId17"/><Relationship Type="http://schemas.openxmlformats.org/officeDocument/2006/relationships/hyperlink" Target="https://search.shopping.naver.com/search/all?query=%EB%AF%B8%EB%8B%88+%EB%A1%9C%EC%BB%A4%EC%8A%A4%EC%9C%84%EC%B9%98+5A&amp;sort=price_asc" TargetMode="External" Id="rId18"/><Relationship Type="http://schemas.openxmlformats.org/officeDocument/2006/relationships/hyperlink" Target="https://search.shopping.naver.com/search/all?query=%EB%AF%B8%EB%8B%88+%EB%B8%94%EB%A0%88%EC%9D%B4%EB%93%9C+%ED%93%A8%EC%A6%88+%ED%99%80%EB%8D%94&amp;sort=price_asc" TargetMode="External" Id="rId19"/><Relationship Type="http://schemas.openxmlformats.org/officeDocument/2006/relationships/hyperlink" Target="https://search.shopping.naver.com/search/all?query=JST+EH+2.5mm+3%ED%95%80+%EA%B8%B0%ED%8C%90+%EC%BB%A4%EB%84%A5%ED%84%B0&amp;sort=price_asc" TargetMode="External" Id="rId20"/><Relationship Type="http://schemas.openxmlformats.org/officeDocument/2006/relationships/hyperlink" Target="https://www.aliexpress.com/w/wholesale-XT30-connector.html?SortType=price_asc" TargetMode="External" Id="rId21"/><Relationship Type="http://schemas.openxmlformats.org/officeDocument/2006/relationships/hyperlink" Target="https://www.lcsc.com/search?q=SN74LVC2G241" TargetMode="External" Id="rId22"/><Relationship Type="http://schemas.openxmlformats.org/officeDocument/2006/relationships/hyperlink" Target="https://jlcpcb.com/" TargetMode="External" Id="rId23"/><Relationship Type="http://schemas.openxmlformats.org/officeDocument/2006/relationships/hyperlink" Target="https://www.aliexpress.com/w/wholesale-JST-EH-2.5mm-3pin-header.html?SortType=price_asc" TargetMode="External" Id="rId24"/><Relationship Type="http://schemas.openxmlformats.org/officeDocument/2006/relationships/hyperlink" Target="https://www.aliexpress.com/w/wholesale-16x22x4-bearing.html?SortType=price_asc" TargetMode="External" Id="rId25"/><Relationship Type="http://schemas.openxmlformats.org/officeDocument/2006/relationships/hyperlink" Target="https://www.aliexpress.com/w/wholesale-10x15x3-bearing.html?SortType=price_asc" TargetMode="External" Id="rId26"/><Relationship Type="http://schemas.openxmlformats.org/officeDocument/2006/relationships/hyperlink" Target="https://www.aliexpress.com/w/wholesale-M2-M2.5-M3-screw-kit.html?SortType=price_asc" TargetMode="External" Id="rId27"/><Relationship Type="http://schemas.openxmlformats.org/officeDocument/2006/relationships/hyperlink" Target="https://www.aliexpress.com/w/wholesale-M2-heat-set-insert.html?SortType=price_asc" TargetMode="External" Id="rId28"/><Relationship Type="http://schemas.openxmlformats.org/officeDocument/2006/relationships/hyperlink" Target="https://search.shopping.naver.com/search/all?query=%EC%95%8C%EB%A3%A8%EB%AF%B8%EB%8A%84+%EB%A0%88%EC%9D%B4%EC%A0%80+%EA%B0%80%EA%B3%B5+%EC%86%8C%EB%9F%89&amp;sort=price_asc" TargetMode="External" Id="rId29"/><Relationship Type="http://schemas.openxmlformats.org/officeDocument/2006/relationships/hyperlink" Target="https://search.shopping.naver.com/search/all?query=PETG+%ED%95%84%EB%9D%BC%EB%A9%98%ED%8A%B8+1kg&amp;sort=price_asc" TargetMode="External" Id="rId30"/><Relationship Type="http://schemas.openxmlformats.org/officeDocument/2006/relationships/hyperlink" Target="https://search.shopping.naver.com/search/all?query=TPU+95A+%ED%95%84%EB%9D%BC%EB%A9%98%ED%8A%B8&amp;sort=price_asc" TargetMode="External" Id="rId31"/><Relationship Type="http://schemas.openxmlformats.org/officeDocument/2006/relationships/hyperlink" Target="https://search.shopping.naver.com/search/all?query=Xbox+%EB%AC%B4%EC%84%A0+%EC%BB%A8%ED%8A%B8%EB%A1%A4%EB%9F%AC&amp;sort=price_asc" TargetMode="External" Id="rId32"/></Relationships>
</file>

<file path=xl/worksheets/_rels/sheet3.xml.rels><Relationships xmlns="http://schemas.openxmlformats.org/package/2006/relationships"><Relationship Type="http://schemas.openxmlformats.org/officeDocument/2006/relationships/hyperlink" Target="https://www.robotis.com/shop/item.php?it_id=902-0163-000" TargetMode="External" Id="rId1"/><Relationship Type="http://schemas.openxmlformats.org/officeDocument/2006/relationships/hyperlink" Target="https://search.shopping.naver.com/search/all?query=CP2102+USB+TTL+%EB%AA%A8%EB%93%88&amp;sort=price_asc" TargetMode="External" Id="rId2"/><Relationship Type="http://schemas.openxmlformats.org/officeDocument/2006/relationships/hyperlink" Target="https://search.shopping.naver.com/search/all?query=JST+EH+3%ED%95%80+%EC%BC%80%EC%9D%B4%EB%B8%94&amp;sort=price_asc" TargetMode="External" Id="rId3"/><Relationship Type="http://schemas.openxmlformats.org/officeDocument/2006/relationships/hyperlink" Target="https://arace.tech/products/radxa-zero-3w" TargetMode="External" Id="rId4"/><Relationship Type="http://schemas.openxmlformats.org/officeDocument/2006/relationships/hyperlink" Target="https://www.aliexpress.us/item/3256806829446736.html" TargetMode="External" Id="rId5"/><Relationship Type="http://schemas.openxmlformats.org/officeDocument/2006/relationships/hyperlink" Target="https://search.shopping.naver.com/search/all?query=microSD+32GB+A1&amp;sort=price_asc" TargetMode="External" Id="rId6"/><Relationship Type="http://schemas.openxmlformats.org/officeDocument/2006/relationships/hyperlink" Target="https://www.sparkfun.com/sparkfun-6dof-imu-breakout-lsm6dsv16x-qwiic.html" TargetMode="External" Id="rId7"/><Relationship Type="http://schemas.openxmlformats.org/officeDocument/2006/relationships/hyperlink" Target="https://search.shopping.naver.com/search/all?query=ESP32-C3+SuperMini&amp;sort=price_asc" TargetMode="External" Id="rId8"/><Relationship Type="http://schemas.openxmlformats.org/officeDocument/2006/relationships/hyperlink" Target="https://search.shopping.naver.com/search/all?query=NP-F550+%ED%98%B8%ED%99%98+%EB%B0%B0%ED%84%B0%EB%A6%AC+%EC%B6%A9%EC%A0%84%EA%B8%B0+%EC%84%B8%ED%8A%B8&amp;sort=price_asc" TargetMode="External" Id="rId9"/><Relationship Type="http://schemas.openxmlformats.org/officeDocument/2006/relationships/hyperlink" Target="https://www.aliexpress.com/w/wholesale-NP-F-battery-plate-holder.html?SortType=price_asc" TargetMode="External" Id="rId10"/><Relationship Type="http://schemas.openxmlformats.org/officeDocument/2006/relationships/hyperlink" Target="https://search.shopping.naver.com/search/all?query=MP1584EN+%EA%B0%95%EC%95%95+%EB%AA%A8%EB%93%88&amp;sort=price_asc" TargetMode="External" Id="rId11"/><Relationship Type="http://schemas.openxmlformats.org/officeDocument/2006/relationships/hyperlink" Target="https://search.shopping.naver.com/search/all?query=%EB%AF%B8%EB%8B%88+%EB%A1%9C%EC%BB%A4%EC%8A%A4%EC%9C%84%EC%B9%98+5A&amp;sort=price_asc" TargetMode="External" Id="rId12"/><Relationship Type="http://schemas.openxmlformats.org/officeDocument/2006/relationships/hyperlink" Target="https://search.shopping.naver.com/search/all?query=%EB%AF%B8%EB%8B%88+%EB%B8%94%EB%A0%88%EC%9D%B4%EB%93%9C+%ED%93%A8%EC%A6%88+%ED%99%80%EB%8D%94&amp;sort=price_asc" TargetMode="External" Id="rId13"/><Relationship Type="http://schemas.openxmlformats.org/officeDocument/2006/relationships/hyperlink" Target="https://search.shopping.naver.com/search/all?query=JST+EH+2.5mm+3%ED%95%80+%EA%B8%B0%ED%8C%90+%EC%BB%A4%EB%84%A5%ED%84%B0&amp;sort=price_asc" TargetMode="External" Id="rId14"/><Relationship Type="http://schemas.openxmlformats.org/officeDocument/2006/relationships/hyperlink" Target="https://www.lcsc.com/search?q=SN74LVC2G241" TargetMode="External" Id="rId15"/><Relationship Type="http://schemas.openxmlformats.org/officeDocument/2006/relationships/hyperlink" Target="https://jlcpcb.com/" TargetMode="External" Id="rId16"/><Relationship Type="http://schemas.openxmlformats.org/officeDocument/2006/relationships/hyperlink" Target="https://www.aliexpress.com/w/wholesale-JST-EH-2.5mm-3pin-header.html?SortType=price_asc" TargetMode="External" Id="rId17"/><Relationship Type="http://schemas.openxmlformats.org/officeDocument/2006/relationships/hyperlink" Target="https://www.aliexpress.com/w/wholesale-16x22x4-bearing.html?SortType=price_asc" TargetMode="External" Id="rId18"/><Relationship Type="http://schemas.openxmlformats.org/officeDocument/2006/relationships/hyperlink" Target="https://www.aliexpress.com/w/wholesale-10x15x3-bearing.html?SortType=price_asc" TargetMode="External" Id="rId19"/><Relationship Type="http://schemas.openxmlformats.org/officeDocument/2006/relationships/hyperlink" Target="https://www.aliexpress.com/w/wholesale-M2-M2.5-M3-screw-kit.html?SortType=price_asc" TargetMode="External" Id="rId20"/><Relationship Type="http://schemas.openxmlformats.org/officeDocument/2006/relationships/hyperlink" Target="https://jlcpcb.com/" TargetMode="External" Id="rId21"/><Relationship Type="http://schemas.openxmlformats.org/officeDocument/2006/relationships/hyperlink" Target="https://search.shopping.naver.com/search/all?query=PETG+%ED%95%84%EB%9D%BC%EB%A9%98%ED%8A%B8+1kg&amp;sort=price_asc" TargetMode="External" Id="rId22"/><Relationship Type="http://schemas.openxmlformats.org/officeDocument/2006/relationships/hyperlink" Target="https://search.shopping.naver.com/search/all?query=TPU+95A+%ED%95%84%EB%9D%BC%EB%A9%98%ED%8A%B8&amp;sort=price_asc" TargetMode="External" Id="rId23"/></Relationships>
</file>

<file path=xl/worksheets/_rels/sheet4.xml.rels><Relationships xmlns="http://schemas.openxmlformats.org/package/2006/relationships"><Relationship Type="http://schemas.openxmlformats.org/officeDocument/2006/relationships/hyperlink" Target="https://www.devicemart.co.kr/goods/view?no=1313388" TargetMode="External" Id="rId1"/><Relationship Type="http://schemas.openxmlformats.org/officeDocument/2006/relationships/hyperlink" Target="https://search.shopping.naver.com/search/all?query=MG90S+%EC%84%9C%EB%B3%B4%EB%AA%A8%ED%84%B0&amp;sort=price_asc" TargetMode="External" Id="rId2"/><Relationship Type="http://schemas.openxmlformats.org/officeDocument/2006/relationships/hyperlink" Target="https://www.aliexpress.com/w/wholesale-25T-aluminum-servo-horn.html?SortType=price_asc" TargetMode="External" Id="rId3"/><Relationship Type="http://schemas.openxmlformats.org/officeDocument/2006/relationships/hyperlink" Target="https://www.aliexpress.com/w/wholesale-servo-extension-cable-30cm.html?SortType=price_asc" TargetMode="External" Id="rId4"/><Relationship Type="http://schemas.openxmlformats.org/officeDocument/2006/relationships/hyperlink" Target="https://eduino.kr/product/&#46972;&#51592;&#48288;&#47532;&#54028;&#51060;-&#51228;&#47196;-2-w-raspberry-pi-zero-2-w/2949/{$url}" TargetMode="External" Id="rId5"/><Relationship Type="http://schemas.openxmlformats.org/officeDocument/2006/relationships/hyperlink" Target="https://search.shopping.naver.com/search/all?query=microSD+32GB+A1&amp;sort=price_asc" TargetMode="External" Id="rId6"/><Relationship Type="http://schemas.openxmlformats.org/officeDocument/2006/relationships/hyperlink" Target="https://www.aliexpress.com/w/wholesale-BNO085-module.html?SortType=price_asc" TargetMode="External" Id="rId7"/><Relationship Type="http://schemas.openxmlformats.org/officeDocument/2006/relationships/hyperlink" Target="https://search.shopping.naver.com/search/all?query=ADS1115+%EB%AA%A8%EB%93%88&amp;sort=price_asc" TargetMode="External" Id="rId8"/><Relationship Type="http://schemas.openxmlformats.org/officeDocument/2006/relationships/hyperlink" Target="https://search.shopping.naver.com/search/all?query=AWG30+%EB%9E%A9%ED%95%91+%EC%99%80%EC%9D%B4%EC%96%B4&amp;sort=price_asc" TargetMode="External" Id="rId9"/><Relationship Type="http://schemas.openxmlformats.org/officeDocument/2006/relationships/hyperlink" Target="https://search.shopping.naver.com/search/all?query=PCA9685+%EC%84%9C%EB%B3%B4+%EB%93%9C%EB%9D%BC%EC%9D%B4%EB%B2%84&amp;sort=price_asc" TargetMode="External" Id="rId10"/><Relationship Type="http://schemas.openxmlformats.org/officeDocument/2006/relationships/hyperlink" Target="https://search.shopping.naver.com/search/all?query=%EB%A7%8C%EB%8A%A5%EA%B8%B0%ED%8C%90+%EC%96%91%EB%A9%B4&amp;sort=price_asc" TargetMode="External" Id="rId11"/><Relationship Type="http://schemas.openxmlformats.org/officeDocument/2006/relationships/hyperlink" Target="https://search.shopping.naver.com/search/all?query=2S+%EB%A6%AC%ED%8F%AC+2200mAh&amp;sort=price_asc" TargetMode="External" Id="rId12"/><Relationship Type="http://schemas.openxmlformats.org/officeDocument/2006/relationships/hyperlink" Target="https://search.shopping.naver.com/search/all?query=%EB%A6%AC%ED%8F%AC+%EB%B0%B8%EB%9F%B0%EC%8A%A4+%EC%B6%A9%EC%A0%84%EA%B8%B0+2S+3S&amp;sort=price_asc" TargetMode="External" Id="rId13"/><Relationship Type="http://schemas.openxmlformats.org/officeDocument/2006/relationships/hyperlink" Target="https://search.shopping.naver.com/search/all?query=UBEC+6V+10A&amp;sort=price_asc" TargetMode="External" Id="rId14"/><Relationship Type="http://schemas.openxmlformats.org/officeDocument/2006/relationships/hyperlink" Target="https://search.shopping.naver.com/search/all?query=MP1584EN+%EA%B0%95%EC%95%95+%EB%AA%A8%EB%93%88&amp;sort=price_asc" TargetMode="External" Id="rId15"/><Relationship Type="http://schemas.openxmlformats.org/officeDocument/2006/relationships/hyperlink" Target="https://search.shopping.naver.com/search/all?query=2200uF+16V+%EC%BD%98%EB%8D%B4%EC%84%9C&amp;sort=price_asc" TargetMode="External" Id="rId16"/><Relationship Type="http://schemas.openxmlformats.org/officeDocument/2006/relationships/hyperlink" Target="https://search.shopping.naver.com/search/all?query=%EB%B8%94%EB%A0%88%EC%9D%B4%EB%93%9C+%ED%93%A8%EC%A6%88+%ED%99%80%EB%8D%94+15A&amp;sort=price_asc" TargetMode="External" Id="rId17"/><Relationship Type="http://schemas.openxmlformats.org/officeDocument/2006/relationships/hyperlink" Target="https://www.aliexpress.com/w/wholesale-623ZZ-bearing.html?SortType=price_asc" TargetMode="External" Id="rId18"/><Relationship Type="http://schemas.openxmlformats.org/officeDocument/2006/relationships/hyperlink" Target="https://www.aliexpress.com/w/wholesale-M3-screw-kit-heat-insert.html?SortType=price_asc" TargetMode="External" Id="rId19"/><Relationship Type="http://schemas.openxmlformats.org/officeDocument/2006/relationships/hyperlink" Target="https://search.shopping.naver.com/search/all?query=PETG+%ED%95%84%EB%9D%BC%EB%A9%98%ED%8A%B8+1kg&amp;sort=price_asc" TargetMode="External" Id="rId20"/><Relationship Type="http://schemas.openxmlformats.org/officeDocument/2006/relationships/hyperlink" Target="https://search.shopping.naver.com/search/all?query=TPU+95A+%ED%95%84%EB%9D%BC%EB%A9%98%ED%8A%B8&amp;sort=price_asc" TargetMode="External" Id="rId2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40" customWidth="1" min="3" max="3"/>
    <col width="44" customWidth="1" min="4" max="4"/>
  </cols>
  <sheetData>
    <row r="1">
      <c r="A1" s="1" t="inlineStr">
        <is>
          <t>Microduck 클론 — 다이나믹셀(오리지널·저렴) vs 일반 서보</t>
        </is>
      </c>
    </row>
    <row r="2">
      <c r="A2" s="2" t="inlineStr">
        <is>
          <t>범례: 노란 칸·파란 글씨 = 입력값. 각 버전 시트의 수량·단가(파란 글씨)도 수정 가능.</t>
        </is>
      </c>
    </row>
    <row r="4">
      <c r="A4" s="3" t="inlineStr">
        <is>
          <t>환율 (원/USD)</t>
        </is>
      </c>
      <c r="C4" s="4" t="n">
        <v>1400</v>
      </c>
    </row>
    <row r="5">
      <c r="A5" s="3" t="inlineStr">
        <is>
          <t>예비 포함 (1=포함, 0=제외)</t>
        </is>
      </c>
      <c r="C5" s="4" t="n">
        <v>1</v>
      </c>
    </row>
    <row r="7">
      <c r="A7" s="5" t="inlineStr">
        <is>
          <t>분류</t>
        </is>
      </c>
      <c r="B7" s="5" t="inlineStr">
        <is>
          <t>오리지널</t>
        </is>
      </c>
      <c r="C7" s="5" t="inlineStr">
        <is>
          <t>저렴한 버전</t>
        </is>
      </c>
      <c r="D7" s="5" t="inlineStr">
        <is>
          <t>일반 서보 버전</t>
        </is>
      </c>
    </row>
    <row r="8">
      <c r="A8" s="3" t="inlineStr">
        <is>
          <t>구동</t>
        </is>
      </c>
      <c r="B8" s="6">
        <f>SUMIFS('오리지널'!$J$6:$J$37,'오리지널'!$A$6:$A$37,A8)</f>
        <v/>
      </c>
      <c r="C8" s="6">
        <f>SUMIFS('저렴한 버전'!$J$6:$J$28,'저렴한 버전'!$A$6:$A$28,A8)</f>
        <v/>
      </c>
      <c r="D8" s="6">
        <f>SUMIFS('일반 서보 버전'!$J$6:$J$26,'일반 서보 버전'!$A$6:$A$26,A8)</f>
        <v/>
      </c>
    </row>
    <row r="9">
      <c r="A9" s="3" t="inlineStr">
        <is>
          <t>컴퓨팅</t>
        </is>
      </c>
      <c r="B9" s="6">
        <f>SUMIFS('오리지널'!$J$6:$J$37,'오리지널'!$A$6:$A$37,A9)</f>
        <v/>
      </c>
      <c r="C9" s="6">
        <f>SUMIFS('저렴한 버전'!$J$6:$J$28,'저렴한 버전'!$A$6:$A$28,A9)</f>
        <v/>
      </c>
      <c r="D9" s="6">
        <f>SUMIFS('일반 서보 버전'!$J$6:$J$26,'일반 서보 버전'!$A$6:$A$26,A9)</f>
        <v/>
      </c>
    </row>
    <row r="10">
      <c r="A10" s="3" t="inlineStr">
        <is>
          <t>센서</t>
        </is>
      </c>
      <c r="B10" s="6">
        <f>SUMIFS('오리지널'!$J$6:$J$37,'오리지널'!$A$6:$A$37,A10)</f>
        <v/>
      </c>
      <c r="C10" s="6">
        <f>SUMIFS('저렴한 버전'!$J$6:$J$28,'저렴한 버전'!$A$6:$A$28,A10)</f>
        <v/>
      </c>
      <c r="D10" s="6">
        <f>SUMIFS('일반 서보 버전'!$J$6:$J$26,'일반 서보 버전'!$A$6:$A$26,A10)</f>
        <v/>
      </c>
    </row>
    <row r="11">
      <c r="A11" s="3" t="inlineStr">
        <is>
          <t>오디오</t>
        </is>
      </c>
      <c r="B11" s="6">
        <f>SUMIFS('오리지널'!$J$6:$J$37,'오리지널'!$A$6:$A$37,A11)</f>
        <v/>
      </c>
      <c r="C11" s="6">
        <f>SUMIFS('저렴한 버전'!$J$6:$J$28,'저렴한 버전'!$A$6:$A$28,A11)</f>
        <v/>
      </c>
      <c r="D11" s="6">
        <f>SUMIFS('일반 서보 버전'!$J$6:$J$26,'일반 서보 버전'!$A$6:$A$26,A11)</f>
        <v/>
      </c>
    </row>
    <row r="12">
      <c r="A12" s="3" t="inlineStr">
        <is>
          <t>전원</t>
        </is>
      </c>
      <c r="B12" s="6">
        <f>SUMIFS('오리지널'!$J$6:$J$37,'오리지널'!$A$6:$A$37,A12)</f>
        <v/>
      </c>
      <c r="C12" s="6">
        <f>SUMIFS('저렴한 버전'!$J$6:$J$28,'저렴한 버전'!$A$6:$A$28,A12)</f>
        <v/>
      </c>
      <c r="D12" s="6">
        <f>SUMIFS('일반 서보 버전'!$J$6:$J$26,'일반 서보 버전'!$A$6:$A$26,A12)</f>
        <v/>
      </c>
    </row>
    <row r="13">
      <c r="A13" s="3" t="inlineStr">
        <is>
          <t>버스·PCB</t>
        </is>
      </c>
      <c r="B13" s="6">
        <f>SUMIFS('오리지널'!$J$6:$J$37,'오리지널'!$A$6:$A$37,A13)</f>
        <v/>
      </c>
      <c r="C13" s="6">
        <f>SUMIFS('저렴한 버전'!$J$6:$J$28,'저렴한 버전'!$A$6:$A$28,A13)</f>
        <v/>
      </c>
      <c r="D13" s="6">
        <f>SUMIFS('일반 서보 버전'!$J$6:$J$26,'일반 서보 버전'!$A$6:$A$26,A13)</f>
        <v/>
      </c>
    </row>
    <row r="14">
      <c r="A14" s="3" t="inlineStr">
        <is>
          <t>기구</t>
        </is>
      </c>
      <c r="B14" s="6">
        <f>SUMIFS('오리지널'!$J$6:$J$37,'오리지널'!$A$6:$A$37,A14)</f>
        <v/>
      </c>
      <c r="C14" s="6">
        <f>SUMIFS('저렴한 버전'!$J$6:$J$28,'저렴한 버전'!$A$6:$A$28,A14)</f>
        <v/>
      </c>
      <c r="D14" s="6">
        <f>SUMIFS('일반 서보 버전'!$J$6:$J$26,'일반 서보 버전'!$A$6:$A$26,A14)</f>
        <v/>
      </c>
    </row>
    <row r="15">
      <c r="A15" s="3" t="inlineStr">
        <is>
          <t>출력소재</t>
        </is>
      </c>
      <c r="B15" s="6">
        <f>SUMIFS('오리지널'!$J$6:$J$37,'오리지널'!$A$6:$A$37,A15)</f>
        <v/>
      </c>
      <c r="C15" s="6">
        <f>SUMIFS('저렴한 버전'!$J$6:$J$28,'저렴한 버전'!$A$6:$A$28,A15)</f>
        <v/>
      </c>
      <c r="D15" s="6">
        <f>SUMIFS('일반 서보 버전'!$J$6:$J$26,'일반 서보 버전'!$A$6:$A$26,A15)</f>
        <v/>
      </c>
    </row>
    <row r="16">
      <c r="A16" s="3" t="inlineStr">
        <is>
          <t>기타</t>
        </is>
      </c>
      <c r="B16" s="6">
        <f>SUMIFS('오리지널'!$J$6:$J$37,'오리지널'!$A$6:$A$37,A16)</f>
        <v/>
      </c>
      <c r="C16" s="6">
        <f>SUMIFS('저렴한 버전'!$J$6:$J$28,'저렴한 버전'!$A$6:$A$28,A16)</f>
        <v/>
      </c>
      <c r="D16" s="6">
        <f>SUMIFS('일반 서보 버전'!$J$6:$J$26,'일반 서보 버전'!$A$6:$A$26,A16)</f>
        <v/>
      </c>
    </row>
    <row r="17">
      <c r="A17" s="3" t="inlineStr">
        <is>
          <t>제어·배선</t>
        </is>
      </c>
      <c r="B17" s="6">
        <f>SUMIFS('오리지널'!$J$6:$J$37,'오리지널'!$A$6:$A$37,A17)</f>
        <v/>
      </c>
      <c r="C17" s="6">
        <f>SUMIFS('저렴한 버전'!$J$6:$J$28,'저렴한 버전'!$A$6:$A$28,A17)</f>
        <v/>
      </c>
      <c r="D17" s="6">
        <f>SUMIFS('일반 서보 버전'!$J$6:$J$26,'일반 서보 버전'!$A$6:$A$26,A17)</f>
        <v/>
      </c>
    </row>
    <row r="18">
      <c r="A18" s="7" t="inlineStr">
        <is>
          <t>합계</t>
        </is>
      </c>
      <c r="B18" s="8">
        <f>'오리지널'!$J$39</f>
        <v/>
      </c>
      <c r="C18" s="8">
        <f>'저렴한 버전'!$J$30</f>
        <v/>
      </c>
      <c r="D18" s="8">
        <f>'일반 서보 버전'!$J$28</f>
        <v/>
      </c>
    </row>
    <row r="19">
      <c r="A19" s="3" t="inlineStr">
        <is>
          <t>주력 서보 비용 (첫 행)</t>
        </is>
      </c>
      <c r="B19" s="6">
        <f>'오리지널'!$J$6</f>
        <v/>
      </c>
      <c r="C19" s="6">
        <f>'저렴한 버전'!$J$6</f>
        <v/>
      </c>
      <c r="D19" s="6">
        <f>'일반 서보 버전'!$J$6</f>
        <v/>
      </c>
    </row>
    <row r="21">
      <c r="A21" s="5" t="inlineStr">
        <is>
          <t>항목</t>
        </is>
      </c>
      <c r="B21" s="5" t="inlineStr">
        <is>
          <t>오리지널</t>
        </is>
      </c>
      <c r="C21" s="5" t="inlineStr">
        <is>
          <t>저렴한 버전</t>
        </is>
      </c>
      <c r="D21" s="5" t="inlineStr">
        <is>
          <t>일반 서보 버전</t>
        </is>
      </c>
    </row>
    <row r="22">
      <c r="A22" s="9" t="inlineStr">
        <is>
          <t>서보</t>
        </is>
      </c>
      <c r="B22" s="9" t="inlineStr">
        <is>
          <t>XL330 15개 + 예비 1</t>
        </is>
      </c>
      <c r="C22" s="9" t="inlineStr">
        <is>
          <t>XL330 14개 (부리 고정)</t>
        </is>
      </c>
      <c r="D22" s="9" t="inlineStr">
        <is>
          <t>MG996R 11 + MG90S 4 (+예비)</t>
        </is>
      </c>
    </row>
    <row r="23">
      <c r="A23" s="9" t="inlineStr">
        <is>
          <t>크기·무게</t>
        </is>
      </c>
      <c r="B23" s="9" t="inlineStr">
        <is>
          <t>25 cm, 약 0.74 kg</t>
        </is>
      </c>
      <c r="C23" s="9" t="inlineStr">
        <is>
          <t>25 cm, 약 0.74 kg</t>
        </is>
      </c>
      <c r="D23" s="9" t="inlineStr">
        <is>
          <t>약 37 cm, 1.4–1.7 kg (추정)</t>
        </is>
      </c>
    </row>
    <row r="24">
      <c r="A24" s="9" t="inlineStr">
        <is>
          <t>위치 피드백</t>
        </is>
      </c>
      <c r="B24" s="9" t="inlineStr">
        <is>
          <t>서보 내장</t>
        </is>
      </c>
      <c r="C24" s="9" t="inlineStr">
        <is>
          <t>서보 내장</t>
        </is>
      </c>
      <c r="D24" s="9" t="inlineStr">
        <is>
          <t>가변저항 배선 개조 + ADS1115</t>
        </is>
      </c>
    </row>
    <row r="25">
      <c r="A25" s="9" t="inlineStr">
        <is>
          <t>제어기</t>
        </is>
      </c>
      <c r="B25" s="9" t="inlineStr">
        <is>
          <t>Radxa Zero 3W + UART 버스</t>
        </is>
      </c>
      <c r="C25" s="9" t="inlineStr">
        <is>
          <t>Radxa Zero 3W + UART 버스</t>
        </is>
      </c>
      <c r="D25" s="9" t="inlineStr">
        <is>
          <t>Pi Zero 2W + PCA9685 (I²C)</t>
        </is>
      </c>
    </row>
    <row r="26">
      <c r="A26" s="9" t="inlineStr">
        <is>
          <t>센서</t>
        </is>
      </c>
      <c r="B26" s="9" t="inlineStr">
        <is>
          <t>IMU + ToF + 카메라</t>
        </is>
      </c>
      <c r="C26" s="9" t="inlineStr">
        <is>
          <t>IMU만</t>
        </is>
      </c>
      <c r="D26" s="9" t="inlineStr">
        <is>
          <t>BNO085 IMU만</t>
        </is>
      </c>
    </row>
    <row r="27">
      <c r="A27" s="9" t="inlineStr">
        <is>
          <t>오디오·조종</t>
        </is>
      </c>
      <c r="B27" s="9" t="inlineStr">
        <is>
          <t>코덱·스피커·마이크, Xbox 패드</t>
        </is>
      </c>
      <c r="C27" s="9" t="inlineStr">
        <is>
          <t>없음, UDP 패드</t>
        </is>
      </c>
      <c r="D27" s="9" t="inlineStr">
        <is>
          <t>없음, UDP 패드</t>
        </is>
      </c>
    </row>
    <row r="28">
      <c r="A28" s="9" t="inlineStr">
        <is>
          <t>CAD</t>
        </is>
      </c>
      <c r="B28" s="9" t="inlineStr">
        <is>
          <t>Pollen 형상 그대로</t>
        </is>
      </c>
      <c r="C28" s="9" t="inlineStr">
        <is>
          <t>Pollen 형상 그대로</t>
        </is>
      </c>
      <c r="D28" s="9" t="inlineStr">
        <is>
          <t>1.5배 새로 설계</t>
        </is>
      </c>
    </row>
    <row r="29">
      <c r="A29" s="9" t="inlineStr">
        <is>
          <t>정책·런타임</t>
        </is>
      </c>
      <c r="B29" s="9" t="inlineStr">
        <is>
          <t>Pollen 것 그대로</t>
        </is>
      </c>
      <c r="C29" s="9" t="inlineStr">
        <is>
          <t>부리 제외 패치</t>
        </is>
      </c>
      <c r="D29" s="9" t="inlineStr">
        <is>
          <t>새 액추에이터 모델로 재학습, 파이썬 런타임 새로 작성</t>
        </is>
      </c>
    </row>
    <row r="30">
      <c r="A30" s="9" t="inlineStr">
        <is>
          <t>난이도</t>
        </is>
      </c>
      <c r="B30" s="9" t="inlineStr">
        <is>
          <t>중</t>
        </is>
      </c>
      <c r="C30" s="9" t="inlineStr">
        <is>
          <t>중</t>
        </is>
      </c>
      <c r="D30" s="9" t="inlineStr">
        <is>
          <t>상 (sim2real 어려움)</t>
        </is>
      </c>
    </row>
    <row r="32">
      <c r="A32" s="7" t="inlineStr">
        <is>
          <t>⚠ 2026-10-29 기준 Radxa Zero 3W(다이나믹셀 버전)·Pi Zero 2W(일반 서보 버전) 모두 일부 판매처 품절.</t>
        </is>
      </c>
    </row>
    <row r="33">
      <c r="A33" s="2" t="inlineStr">
        <is>
          <t>가격근거 '확인' = 판매 페이지 정가 확인, '추정' = 시세 추정. 배송비 별도.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38" customWidth="1" min="3" max="3"/>
    <col width="6" customWidth="1" min="4" max="4"/>
    <col width="6" customWidth="1" min="5" max="5"/>
    <col width="7" customWidth="1" min="6" max="6"/>
    <col width="10" customWidth="1" min="7" max="7"/>
    <col width="6" customWidth="1" min="8" max="8"/>
    <col width="11" customWidth="1" min="9" max="9"/>
    <col width="12" customWidth="1" min="10" max="10"/>
    <col width="8" customWidth="1" min="11" max="11"/>
    <col width="22" customWidth="1" min="12" max="12"/>
    <col width="40" customWidth="1" min="13" max="13"/>
    <col width="8" customWidth="1" min="14" max="14"/>
    <col width="50" customWidth="1" min="15" max="15"/>
    <col width="60" customWidth="1" min="16" max="16"/>
  </cols>
  <sheetData>
    <row r="1">
      <c r="A1" s="1" t="inlineStr">
        <is>
          <t>Microduck 클론 BOM — 오리지널</t>
        </is>
      </c>
    </row>
    <row r="2">
      <c r="A2" s="2" t="inlineStr">
        <is>
          <t>다이나믹셀 · Pollen Microduck 하드웨어 그대로: 15축(부리 포함), ToF·카메라·오디오, U2D2, 게임패드, 예비 부품.</t>
        </is>
      </c>
    </row>
    <row r="3">
      <c r="A3" s="2" t="inlineStr">
        <is>
          <t>환율·예비 포함 여부는 '비교' 시트의 노란 칸에서 바꾼다. 쿠폰 할인·배송비 미반영.</t>
        </is>
      </c>
    </row>
    <row r="5">
      <c r="A5" s="10" t="inlineStr">
        <is>
          <t>분류</t>
        </is>
      </c>
      <c r="B5" s="10" t="inlineStr">
        <is>
          <t>품목</t>
        </is>
      </c>
      <c r="C5" s="10" t="inlineStr">
        <is>
          <t>규격/모델</t>
        </is>
      </c>
      <c r="D5" s="10" t="inlineStr">
        <is>
          <t>수량</t>
        </is>
      </c>
      <c r="E5" s="10" t="inlineStr">
        <is>
          <t>예비</t>
        </is>
      </c>
      <c r="F5" s="10" t="inlineStr">
        <is>
          <t>총수량</t>
        </is>
      </c>
      <c r="G5" s="10" t="inlineStr">
        <is>
          <t>단가</t>
        </is>
      </c>
      <c r="H5" s="10" t="inlineStr">
        <is>
          <t>통화</t>
        </is>
      </c>
      <c r="I5" s="10" t="inlineStr">
        <is>
          <t>단가(원)</t>
        </is>
      </c>
      <c r="J5" s="10" t="inlineStr">
        <is>
          <t>합계(원)</t>
        </is>
      </c>
      <c r="K5" s="10" t="inlineStr">
        <is>
          <t>가격근거</t>
        </is>
      </c>
      <c r="L5" s="10" t="inlineStr">
        <is>
          <t>구매처</t>
        </is>
      </c>
      <c r="M5" s="10" t="inlineStr">
        <is>
          <t>구매 링크</t>
        </is>
      </c>
      <c r="N5" s="10" t="inlineStr">
        <is>
          <t>링크유형</t>
        </is>
      </c>
      <c r="O5" s="10" t="inlineStr">
        <is>
          <t>대안 구매처</t>
        </is>
      </c>
      <c r="P5" s="10" t="inlineStr">
        <is>
          <t>메모</t>
        </is>
      </c>
    </row>
    <row r="6">
      <c r="A6" s="11" t="inlineStr">
        <is>
          <t>구동</t>
        </is>
      </c>
      <c r="B6" s="11" t="inlineStr">
        <is>
          <t>다이나믹셀 서보</t>
        </is>
      </c>
      <c r="C6" s="12" t="inlineStr">
        <is>
          <t>ROBOTIS XL330-M288-T</t>
        </is>
      </c>
      <c r="D6" s="13" t="n">
        <v>15</v>
      </c>
      <c r="E6" s="13" t="n">
        <v>1</v>
      </c>
      <c r="F6" s="11">
        <f>D6+E6*'비교'!$C$5</f>
        <v/>
      </c>
      <c r="G6" s="14" t="n">
        <v>26400</v>
      </c>
      <c r="H6" s="11" t="inlineStr">
        <is>
          <t>KRW</t>
        </is>
      </c>
      <c r="I6" s="15">
        <f>IF(H6="USD",G6*'비교'!$C$4,G6)</f>
        <v/>
      </c>
      <c r="J6" s="15">
        <f>F6*I6</f>
        <v/>
      </c>
      <c r="K6" s="11" t="inlineStr">
        <is>
          <t>확인</t>
        </is>
      </c>
      <c r="L6" s="11" t="inlineStr">
        <is>
          <t>로보티즈 공식몰</t>
        </is>
      </c>
      <c r="M6" s="16" t="inlineStr">
        <is>
          <t>https://www.robotis.com/shop/item.php?it_id=902-0163-000</t>
        </is>
      </c>
      <c r="N6" s="11" t="inlineStr">
        <is>
          <t>상품</t>
        </is>
      </c>
      <c r="O6" s="12" t="inlineStr">
        <is>
          <t>로보몰(동일가, 품절): https://robomall.co.kr/product/%EB%8B%A4%EC%9D%B4%EB%82%98%EB%AF%B9%EC%85%80-xl330-m288-t/21150/</t>
        </is>
      </c>
      <c r="P6" s="12" t="inlineStr">
        <is>
          <t>준비기간 40일 → 가장 먼저 주문. 5만원 이상 무료배송. 저렴한 버전은 부리(ID 34) 생략 → 14개</t>
        </is>
      </c>
    </row>
    <row r="7">
      <c r="A7" s="11" t="inlineStr">
        <is>
          <t>구동</t>
        </is>
      </c>
      <c r="B7" s="11" t="inlineStr">
        <is>
          <t>서보 설정 인터페이스</t>
        </is>
      </c>
      <c r="C7" s="12" t="inlineStr">
        <is>
          <t>ROBOTIS U2D2</t>
        </is>
      </c>
      <c r="D7" s="13" t="n">
        <v>1</v>
      </c>
      <c r="E7" s="13" t="n">
        <v>0</v>
      </c>
      <c r="F7" s="11">
        <f>D7+E7*'비교'!$C$5</f>
        <v/>
      </c>
      <c r="G7" s="14" t="n">
        <v>36300</v>
      </c>
      <c r="H7" s="11" t="inlineStr">
        <is>
          <t>KRW</t>
        </is>
      </c>
      <c r="I7" s="15">
        <f>IF(H7="USD",G7*'비교'!$C$4,G7)</f>
        <v/>
      </c>
      <c r="J7" s="15">
        <f>F7*I7</f>
        <v/>
      </c>
      <c r="K7" s="11" t="inlineStr">
        <is>
          <t>확인</t>
        </is>
      </c>
      <c r="L7" s="11" t="inlineStr">
        <is>
          <t>로보티즈 공식몰</t>
        </is>
      </c>
      <c r="M7" s="16" t="inlineStr">
        <is>
          <t>https://www.robotis.com/shop/item.php?it_id=902-0132-000</t>
        </is>
      </c>
      <c r="N7" s="11" t="inlineStr">
        <is>
          <t>상품</t>
        </is>
      </c>
      <c r="O7" s="12" t="inlineStr"/>
      <c r="P7" s="12" t="inlineStr">
        <is>
          <t>정품 USB 인터페이스. 준비기간 10일</t>
        </is>
      </c>
    </row>
    <row r="8">
      <c r="A8" s="11" t="inlineStr">
        <is>
          <t>구동</t>
        </is>
      </c>
      <c r="B8" s="11" t="inlineStr">
        <is>
          <t>U2D2 전원 허브</t>
        </is>
      </c>
      <c r="C8" s="12" t="inlineStr">
        <is>
          <t>U2D2 PHB Set</t>
        </is>
      </c>
      <c r="D8" s="13" t="n">
        <v>1</v>
      </c>
      <c r="E8" s="13" t="n">
        <v>0</v>
      </c>
      <c r="F8" s="11">
        <f>D8+E8*'비교'!$C$5</f>
        <v/>
      </c>
      <c r="G8" s="14" t="n">
        <v>21780</v>
      </c>
      <c r="H8" s="11" t="inlineStr">
        <is>
          <t>KRW</t>
        </is>
      </c>
      <c r="I8" s="15">
        <f>IF(H8="USD",G8*'비교'!$C$4,G8)</f>
        <v/>
      </c>
      <c r="J8" s="15">
        <f>F8*I8</f>
        <v/>
      </c>
      <c r="K8" s="11" t="inlineStr">
        <is>
          <t>확인</t>
        </is>
      </c>
      <c r="L8" s="11" t="inlineStr">
        <is>
          <t>로보티즈 공식몰</t>
        </is>
      </c>
      <c r="M8" s="16" t="inlineStr">
        <is>
          <t>https://www.robotis.com/shop/list.php?ca_id=202030</t>
        </is>
      </c>
      <c r="N8" s="11" t="inlineStr">
        <is>
          <t>목록</t>
        </is>
      </c>
      <c r="O8" s="12" t="inlineStr"/>
      <c r="P8" s="12" t="inlineStr">
        <is>
          <t>벤치에서 서보 여러 개 전원 분배</t>
        </is>
      </c>
    </row>
    <row r="9">
      <c r="A9" s="11" t="inlineStr">
        <is>
          <t>구동</t>
        </is>
      </c>
      <c r="B9" s="11" t="inlineStr">
        <is>
          <t>서보 케이블 추가</t>
        </is>
      </c>
      <c r="C9" s="12" t="inlineStr">
        <is>
          <t>로봇 케이블-X3P 180mm 10개</t>
        </is>
      </c>
      <c r="D9" s="13" t="n">
        <v>1</v>
      </c>
      <c r="E9" s="13" t="n">
        <v>0</v>
      </c>
      <c r="F9" s="11">
        <f>D9+E9*'비교'!$C$5</f>
        <v/>
      </c>
      <c r="G9" s="14" t="n">
        <v>18150</v>
      </c>
      <c r="H9" s="11" t="inlineStr">
        <is>
          <t>KRW</t>
        </is>
      </c>
      <c r="I9" s="15">
        <f>IF(H9="USD",G9*'비교'!$C$4,G9)</f>
        <v/>
      </c>
      <c r="J9" s="15">
        <f>F9*I9</f>
        <v/>
      </c>
      <c r="K9" s="11" t="inlineStr">
        <is>
          <t>확인</t>
        </is>
      </c>
      <c r="L9" s="11" t="inlineStr">
        <is>
          <t>로보티즈 공식몰</t>
        </is>
      </c>
      <c r="M9" s="16" t="inlineStr">
        <is>
          <t>https://www.robotis.com/shop/list.php?ca_id=202030</t>
        </is>
      </c>
      <c r="N9" s="11" t="inlineStr">
        <is>
          <t>목록</t>
        </is>
      </c>
      <c r="O9" s="12" t="inlineStr">
        <is>
          <t>자작: https://search.shopping.naver.com/search/all?query=JST+EH+3%ED%95%80+%EC%BC%80%EC%9D%B4%EB%B8%94&amp;sort=price_asc</t>
        </is>
      </c>
      <c r="P9" s="12" t="inlineStr">
        <is>
          <t>필요 17가닥(머리·목 6, IMU 1, 다리 10) vs 서보 동봉 15가닥 → 최소 2가닥 부족. 나머지는 예비 (docs/assembly/OPERATION.md 3절)</t>
        </is>
      </c>
    </row>
    <row r="10">
      <c r="A10" s="17" t="inlineStr">
        <is>
          <t>컴퓨팅</t>
        </is>
      </c>
      <c r="B10" s="17" t="inlineStr">
        <is>
          <t>메인 SBC</t>
        </is>
      </c>
      <c r="C10" s="18" t="inlineStr">
        <is>
          <t>Radxa Zero 3W (1GB/8GB eMMC 또는 2GB/16GB)</t>
        </is>
      </c>
      <c r="D10" s="19" t="n">
        <v>1</v>
      </c>
      <c r="E10" s="19" t="n">
        <v>0</v>
      </c>
      <c r="F10" s="17">
        <f>D10+E10*'비교'!$C$5</f>
        <v/>
      </c>
      <c r="G10" s="20" t="n">
        <v>20</v>
      </c>
      <c r="H10" s="17" t="inlineStr">
        <is>
          <t>USD</t>
        </is>
      </c>
      <c r="I10" s="21">
        <f>IF(H10="USD",G10*'비교'!$C$4,G10)</f>
        <v/>
      </c>
      <c r="J10" s="21">
        <f>F10*I10</f>
        <v/>
      </c>
      <c r="K10" s="17" t="inlineStr">
        <is>
          <t>확인</t>
        </is>
      </c>
      <c r="L10" s="17" t="inlineStr">
        <is>
          <t>ARACE (Radxa 공식 파트너)</t>
        </is>
      </c>
      <c r="M10" s="22" t="inlineStr">
        <is>
          <t>https://arace.tech/products/radxa-zero-3w</t>
        </is>
      </c>
      <c r="N10" s="17" t="inlineStr">
        <is>
          <t>상품</t>
        </is>
      </c>
      <c r="O10" s="18" t="inlineStr">
        <is>
          <t>알리: https://www.aliexpress.com/w/wholesale-Radxa-Zero-3W.html?SortType=price_asc / allnetchina: https://shop.allnetchina.cn/products/copy-of-radxa-zero-3w</t>
        </is>
      </c>
      <c r="P10" s="18" t="inlineStr">
        <is>
          <t>⚠ 2026-10-29 확인 시 ARACE·ameridroid·allnetchina 전 모델 품절. 재입고 알림 신청. 대안: Orange Pi Zero 2W / Pi Zero 2W (같은 65×30, 런타임 포팅 필요)</t>
        </is>
      </c>
    </row>
    <row r="11">
      <c r="A11" s="11" t="inlineStr">
        <is>
          <t>컴퓨팅</t>
        </is>
      </c>
      <c r="B11" s="11" t="inlineStr">
        <is>
          <t>방열판</t>
        </is>
      </c>
      <c r="C11" s="12" t="inlineStr">
        <is>
          <t>Radxa ZERO 3W/3E 전용 히트싱크</t>
        </is>
      </c>
      <c r="D11" s="13" t="n">
        <v>1</v>
      </c>
      <c r="E11" s="13" t="n">
        <v>0</v>
      </c>
      <c r="F11" s="11">
        <f>D11+E11*'비교'!$C$5</f>
        <v/>
      </c>
      <c r="G11" s="14" t="n">
        <v>3000</v>
      </c>
      <c r="H11" s="11" t="inlineStr">
        <is>
          <t>KRW</t>
        </is>
      </c>
      <c r="I11" s="15">
        <f>IF(H11="USD",G11*'비교'!$C$4,G11)</f>
        <v/>
      </c>
      <c r="J11" s="15">
        <f>F11*I11</f>
        <v/>
      </c>
      <c r="K11" s="11" t="inlineStr">
        <is>
          <t>추정</t>
        </is>
      </c>
      <c r="L11" s="11" t="inlineStr">
        <is>
          <t>알리익스프레스</t>
        </is>
      </c>
      <c r="M11" s="16" t="inlineStr">
        <is>
          <t>https://www.aliexpress.us/item/3256806829446736.html</t>
        </is>
      </c>
      <c r="N11" s="11" t="inlineStr">
        <is>
          <t>상품</t>
        </is>
      </c>
      <c r="O11" s="12" t="inlineStr"/>
      <c r="P11" s="12" t="inlineStr">
        <is>
          <t>원본 문서에 95 °C 스로틀링 사례</t>
        </is>
      </c>
    </row>
    <row r="12">
      <c r="A12" s="11" t="inlineStr">
        <is>
          <t>센서</t>
        </is>
      </c>
      <c r="B12" s="11" t="inlineStr">
        <is>
          <t>몸통 IMU</t>
        </is>
      </c>
      <c r="C12" s="12" t="inlineStr">
        <is>
          <t>SparkFun 6DoF LSM6DSV16X (Qwiic) SEN-21325</t>
        </is>
      </c>
      <c r="D12" s="13" t="n">
        <v>1</v>
      </c>
      <c r="E12" s="13" t="n">
        <v>1</v>
      </c>
      <c r="F12" s="11">
        <f>D12+E12*'비교'!$C$5</f>
        <v/>
      </c>
      <c r="G12" s="23" t="n">
        <v>24.54</v>
      </c>
      <c r="H12" s="11" t="inlineStr">
        <is>
          <t>USD</t>
        </is>
      </c>
      <c r="I12" s="15">
        <f>IF(H12="USD",G12*'비교'!$C$4,G12)</f>
        <v/>
      </c>
      <c r="J12" s="15">
        <f>F12*I12</f>
        <v/>
      </c>
      <c r="K12" s="11" t="inlineStr">
        <is>
          <t>확인</t>
        </is>
      </c>
      <c r="L12" s="11" t="inlineStr">
        <is>
          <t>SparkFun</t>
        </is>
      </c>
      <c r="M12" s="16" t="inlineStr">
        <is>
          <t>https://www.sparkfun.com/sparkfun-6dof-imu-breakout-lsm6dsv16x-qwiic.html</t>
        </is>
      </c>
      <c r="N12" s="11" t="inlineStr">
        <is>
          <t>상품</t>
        </is>
      </c>
      <c r="O12" s="12" t="inlineStr">
        <is>
          <t>알리 저가 모듈: https://www.aliexpress.com/w/wholesale-LSM6DSV16X-module.html?SortType=price_asc</t>
        </is>
      </c>
      <c r="P12" s="12" t="inlineStr">
        <is>
          <t>원본과 같은 칩. 알리 저가 모듈을 찾으면 저렴한 버전은 그쪽으로</t>
        </is>
      </c>
    </row>
    <row r="13">
      <c r="A13" s="11" t="inlineStr">
        <is>
          <t>센서</t>
        </is>
      </c>
      <c r="B13" s="11" t="inlineStr">
        <is>
          <t>IMU 브리지 MCU</t>
        </is>
      </c>
      <c r="C13" s="12" t="inlineStr">
        <is>
          <t>ESP32-C3 SuperMini</t>
        </is>
      </c>
      <c r="D13" s="13" t="n">
        <v>1</v>
      </c>
      <c r="E13" s="13" t="n">
        <v>1</v>
      </c>
      <c r="F13" s="11">
        <f>D13+E13*'비교'!$C$5</f>
        <v/>
      </c>
      <c r="G13" s="14" t="n">
        <v>3000</v>
      </c>
      <c r="H13" s="11" t="inlineStr">
        <is>
          <t>KRW</t>
        </is>
      </c>
      <c r="I13" s="15">
        <f>IF(H13="USD",G13*'비교'!$C$4,G13)</f>
        <v/>
      </c>
      <c r="J13" s="15">
        <f>F13*I13</f>
        <v/>
      </c>
      <c r="K13" s="11" t="inlineStr">
        <is>
          <t>추정</t>
        </is>
      </c>
      <c r="L13" s="11" t="inlineStr">
        <is>
          <t>네이버쇼핑 최저가</t>
        </is>
      </c>
      <c r="M13" s="16" t="inlineStr">
        <is>
          <t>https://search.shopping.naver.com/search/all?query=ESP32-C3+SuperMini&amp;sort=price_asc</t>
        </is>
      </c>
      <c r="N13" s="11" t="inlineStr">
        <is>
          <t>검색</t>
        </is>
      </c>
      <c r="O13" s="12" t="inlineStr">
        <is>
          <t>알리: https://www.aliexpress.com/w/wholesale-ESP32-C3-SuperMini.html?SortType=price_asc</t>
        </is>
      </c>
      <c r="P13" s="12" t="inlineStr">
        <is>
          <t>버스 ID 200 슬레이브 펌웨어 (firmware/imu_to_dxl)</t>
        </is>
      </c>
    </row>
    <row r="14">
      <c r="A14" s="11" t="inlineStr">
        <is>
          <t>센서</t>
        </is>
      </c>
      <c r="B14" s="11" t="inlineStr">
        <is>
          <t>ToF 8×8 깊이센서</t>
        </is>
      </c>
      <c r="C14" s="12" t="inlineStr">
        <is>
          <t>Pololu VL53L8CX Carrier #3419</t>
        </is>
      </c>
      <c r="D14" s="13" t="n">
        <v>1</v>
      </c>
      <c r="E14" s="13" t="n">
        <v>0</v>
      </c>
      <c r="F14" s="11">
        <f>D14+E14*'비교'!$C$5</f>
        <v/>
      </c>
      <c r="G14" s="23" t="n">
        <v>24.95</v>
      </c>
      <c r="H14" s="11" t="inlineStr">
        <is>
          <t>USD</t>
        </is>
      </c>
      <c r="I14" s="15">
        <f>IF(H14="USD",G14*'비교'!$C$4,G14)</f>
        <v/>
      </c>
      <c r="J14" s="15">
        <f>F14*I14</f>
        <v/>
      </c>
      <c r="K14" s="11" t="inlineStr">
        <is>
          <t>확인</t>
        </is>
      </c>
      <c r="L14" s="11" t="inlineStr">
        <is>
          <t>DigiKey 코리아</t>
        </is>
      </c>
      <c r="M14" s="16" t="inlineStr">
        <is>
          <t>https://www.digikey.kr/en/products/detail/pololu/3419/22310072</t>
        </is>
      </c>
      <c r="N14" s="11" t="inlineStr">
        <is>
          <t>상품</t>
        </is>
      </c>
      <c r="O14" s="12" t="inlineStr">
        <is>
          <t>Pololu 직구: https://www.pololu.com/product/3419</t>
        </is>
      </c>
      <c r="P14" s="12" t="inlineStr">
        <is>
          <t>원본 머리 깊이센서 (VL53L8CX)</t>
        </is>
      </c>
    </row>
    <row r="15">
      <c r="A15" s="11" t="inlineStr">
        <is>
          <t>센서</t>
        </is>
      </c>
      <c r="B15" s="11" t="inlineStr">
        <is>
          <t>카메라</t>
        </is>
      </c>
      <c r="C15" s="12" t="inlineStr">
        <is>
          <t>IMX219 모듈 + M12 광각렌즈</t>
        </is>
      </c>
      <c r="D15" s="13" t="n">
        <v>1</v>
      </c>
      <c r="E15" s="13" t="n">
        <v>0</v>
      </c>
      <c r="F15" s="11">
        <f>D15+E15*'비교'!$C$5</f>
        <v/>
      </c>
      <c r="G15" s="14" t="n">
        <v>15000</v>
      </c>
      <c r="H15" s="11" t="inlineStr">
        <is>
          <t>KRW</t>
        </is>
      </c>
      <c r="I15" s="15">
        <f>IF(H15="USD",G15*'비교'!$C$4,G15)</f>
        <v/>
      </c>
      <c r="J15" s="15">
        <f>F15*I15</f>
        <v/>
      </c>
      <c r="K15" s="11" t="inlineStr">
        <is>
          <t>추정</t>
        </is>
      </c>
      <c r="L15" s="11" t="inlineStr">
        <is>
          <t>알리익스프레스</t>
        </is>
      </c>
      <c r="M15" s="16" t="inlineStr">
        <is>
          <t>https://www.aliexpress.com/w/wholesale-IMX219-M12-camera-module.html?SortType=price_asc</t>
        </is>
      </c>
      <c r="N15" s="11" t="inlineStr">
        <is>
          <t>검색</t>
        </is>
      </c>
      <c r="O15" s="12" t="inlineStr">
        <is>
          <t>네이버: https://search.shopping.naver.com/search/all?query=IMX219+%EC%B9%B4%EB%A9%94%EB%9D%BC+%EB%AA%A8%EB%93%88&amp;sort=price_asc</t>
        </is>
      </c>
      <c r="P15" s="12" t="inlineStr">
        <is>
          <t>Radxa Zero 3W는 22핀 CSI</t>
        </is>
      </c>
    </row>
    <row r="16">
      <c r="A16" s="11" t="inlineStr">
        <is>
          <t>센서</t>
        </is>
      </c>
      <c r="B16" s="11" t="inlineStr">
        <is>
          <t>CSI 케이블</t>
        </is>
      </c>
      <c r="C16" s="12" t="inlineStr">
        <is>
          <t>22핀↔15핀 FPC 100 mm</t>
        </is>
      </c>
      <c r="D16" s="13" t="n">
        <v>1</v>
      </c>
      <c r="E16" s="13" t="n">
        <v>0</v>
      </c>
      <c r="F16" s="11">
        <f>D16+E16*'비교'!$C$5</f>
        <v/>
      </c>
      <c r="G16" s="14" t="n">
        <v>2000</v>
      </c>
      <c r="H16" s="11" t="inlineStr">
        <is>
          <t>KRW</t>
        </is>
      </c>
      <c r="I16" s="15">
        <f>IF(H16="USD",G16*'비교'!$C$4,G16)</f>
        <v/>
      </c>
      <c r="J16" s="15">
        <f>F16*I16</f>
        <v/>
      </c>
      <c r="K16" s="11" t="inlineStr">
        <is>
          <t>추정</t>
        </is>
      </c>
      <c r="L16" s="11" t="inlineStr">
        <is>
          <t>알리익스프레스</t>
        </is>
      </c>
      <c r="M16" s="16" t="inlineStr">
        <is>
          <t>https://www.aliexpress.com/w/wholesale-22pin-to-15pin-CSI-cable.html?SortType=price_asc</t>
        </is>
      </c>
      <c r="N16" s="11" t="inlineStr">
        <is>
          <t>검색</t>
        </is>
      </c>
      <c r="O16" s="12" t="inlineStr"/>
      <c r="P16" s="12" t="inlineStr">
        <is>
          <t>15핀 카메라 모듈일 때</t>
        </is>
      </c>
    </row>
    <row r="17">
      <c r="A17" s="11" t="inlineStr">
        <is>
          <t>오디오</t>
        </is>
      </c>
      <c r="B17" s="11" t="inlineStr">
        <is>
          <t>오디오 코덱</t>
        </is>
      </c>
      <c r="C17" s="12" t="inlineStr">
        <is>
          <t>TLV320AIC3104IRHBR (HAT 실장)</t>
        </is>
      </c>
      <c r="D17" s="13" t="n">
        <v>1</v>
      </c>
      <c r="E17" s="13" t="n">
        <v>0</v>
      </c>
      <c r="F17" s="11">
        <f>D17+E17*'비교'!$C$5</f>
        <v/>
      </c>
      <c r="G17" s="23" t="n">
        <v>2.5</v>
      </c>
      <c r="H17" s="11" t="inlineStr">
        <is>
          <t>USD</t>
        </is>
      </c>
      <c r="I17" s="15">
        <f>IF(H17="USD",G17*'비교'!$C$4,G17)</f>
        <v/>
      </c>
      <c r="J17" s="15">
        <f>F17*I17</f>
        <v/>
      </c>
      <c r="K17" s="11" t="inlineStr">
        <is>
          <t>추정</t>
        </is>
      </c>
      <c r="L17" s="11" t="inlineStr">
        <is>
          <t>LCSC</t>
        </is>
      </c>
      <c r="M17" s="16" t="inlineStr">
        <is>
          <t>https://www.lcsc.com/search?q=TLV320AIC3104</t>
        </is>
      </c>
      <c r="N17" s="11" t="inlineStr">
        <is>
          <t>검색</t>
        </is>
      </c>
      <c r="O17" s="12" t="inlineStr"/>
      <c r="P17" s="12" t="inlineStr">
        <is>
          <t>원본 런타임이 전제하는 코덱. HAT에 실장 (QFN 납땜 또는 JLCPCB 조립)</t>
        </is>
      </c>
    </row>
    <row r="18">
      <c r="A18" s="11" t="inlineStr">
        <is>
          <t>오디오</t>
        </is>
      </c>
      <c r="B18" s="11" t="inlineStr">
        <is>
          <t>스피커</t>
        </is>
      </c>
      <c r="C18" s="12" t="inlineStr">
        <is>
          <t>35×25×7 mm 8Ω 1W</t>
        </is>
      </c>
      <c r="D18" s="13" t="n">
        <v>1</v>
      </c>
      <c r="E18" s="13" t="n">
        <v>0</v>
      </c>
      <c r="F18" s="11">
        <f>D18+E18*'비교'!$C$5</f>
        <v/>
      </c>
      <c r="G18" s="14" t="n">
        <v>1500</v>
      </c>
      <c r="H18" s="11" t="inlineStr">
        <is>
          <t>KRW</t>
        </is>
      </c>
      <c r="I18" s="15">
        <f>IF(H18="USD",G18*'비교'!$C$4,G18)</f>
        <v/>
      </c>
      <c r="J18" s="15">
        <f>F18*I18</f>
        <v/>
      </c>
      <c r="K18" s="11" t="inlineStr">
        <is>
          <t>추정</t>
        </is>
      </c>
      <c r="L18" s="11" t="inlineStr">
        <is>
          <t>네이버쇼핑 최저가</t>
        </is>
      </c>
      <c r="M18" s="16" t="inlineStr">
        <is>
          <t>https://search.shopping.naver.com/search/all?query=%EC%86%8C%ED%98%95+%EC%8A%A4%ED%94%BC%EC%BB%A4+8%EC%98%B4+1W+3525&amp;sort=price_asc</t>
        </is>
      </c>
      <c r="N18" s="11" t="inlineStr">
        <is>
          <t>검색</t>
        </is>
      </c>
      <c r="O18" s="12" t="inlineStr"/>
      <c r="P18" s="12" t="inlineStr">
        <is>
          <t>원본 메시 치수</t>
        </is>
      </c>
    </row>
    <row r="19">
      <c r="A19" s="11" t="inlineStr">
        <is>
          <t>오디오</t>
        </is>
      </c>
      <c r="B19" s="11" t="inlineStr">
        <is>
          <t>마이크</t>
        </is>
      </c>
      <c r="C19" s="12" t="inlineStr">
        <is>
          <t>MEMS 마이크 모듈</t>
        </is>
      </c>
      <c r="D19" s="13" t="n">
        <v>1</v>
      </c>
      <c r="E19" s="13" t="n">
        <v>0</v>
      </c>
      <c r="F19" s="11">
        <f>D19+E19*'비교'!$C$5</f>
        <v/>
      </c>
      <c r="G19" s="14" t="n">
        <v>2000</v>
      </c>
      <c r="H19" s="11" t="inlineStr">
        <is>
          <t>KRW</t>
        </is>
      </c>
      <c r="I19" s="15">
        <f>IF(H19="USD",G19*'비교'!$C$4,G19)</f>
        <v/>
      </c>
      <c r="J19" s="15">
        <f>F19*I19</f>
        <v/>
      </c>
      <c r="K19" s="11" t="inlineStr">
        <is>
          <t>추정</t>
        </is>
      </c>
      <c r="L19" s="11" t="inlineStr">
        <is>
          <t>네이버쇼핑 최저가</t>
        </is>
      </c>
      <c r="M19" s="16" t="inlineStr">
        <is>
          <t>https://search.shopping.naver.com/search/all?query=MEMS+%EB%A7%88%EC%9D%B4%ED%81%AC+%EB%AA%A8%EB%93%88&amp;sort=price_asc</t>
        </is>
      </c>
      <c r="N19" s="11" t="inlineStr">
        <is>
          <t>검색</t>
        </is>
      </c>
      <c r="O19" s="12" t="inlineStr"/>
      <c r="P19" s="12" t="inlineStr"/>
    </row>
    <row r="20">
      <c r="A20" s="11" t="inlineStr">
        <is>
          <t>전원</t>
        </is>
      </c>
      <c r="B20" s="11" t="inlineStr">
        <is>
          <t>배터리+충전기</t>
        </is>
      </c>
      <c r="C20" s="12" t="inlineStr">
        <is>
          <t>NP-F550 호환 2S 7.2V 배터리 + USB 충전기 세트</t>
        </is>
      </c>
      <c r="D20" s="13" t="n">
        <v>1</v>
      </c>
      <c r="E20" s="13" t="n">
        <v>1</v>
      </c>
      <c r="F20" s="11">
        <f>D20+E20*'비교'!$C$5</f>
        <v/>
      </c>
      <c r="G20" s="14" t="n">
        <v>25000</v>
      </c>
      <c r="H20" s="11" t="inlineStr">
        <is>
          <t>KRW</t>
        </is>
      </c>
      <c r="I20" s="15">
        <f>IF(H20="USD",G20*'비교'!$C$4,G20)</f>
        <v/>
      </c>
      <c r="J20" s="15">
        <f>F20*I20</f>
        <v/>
      </c>
      <c r="K20" s="11" t="inlineStr">
        <is>
          <t>추정</t>
        </is>
      </c>
      <c r="L20" s="11" t="inlineStr">
        <is>
          <t>네이버쇼핑 최저가</t>
        </is>
      </c>
      <c r="M20" s="16" t="inlineStr">
        <is>
          <t>https://search.shopping.naver.com/search/all?query=NP-F550+%ED%98%B8%ED%99%98+%EB%B0%B0%ED%84%B0%EB%A6%AC+%EC%B6%A9%EC%A0%84%EA%B8%B0+%EC%84%B8%ED%8A%B8&amp;sort=price_asc</t>
        </is>
      </c>
      <c r="N20" s="11" t="inlineStr">
        <is>
          <t>검색</t>
        </is>
      </c>
      <c r="O20" s="12" t="inlineStr">
        <is>
          <t>NEEWER 4개+충전기 ₩163,000(확인): https://kr.neewer.com/products/neewer-4-packs-7-4v-2600mah-np-f550-replacement-batteries-66601510</t>
        </is>
      </c>
      <c r="P20" s="12" t="inlineStr">
        <is>
          <t>서보에 직결(6.6–8.2 V). 약 1시간 동작. 오리지널 예비 = 배터리 세트 1개 추가</t>
        </is>
      </c>
    </row>
    <row r="21">
      <c r="A21" s="11" t="inlineStr">
        <is>
          <t>전원</t>
        </is>
      </c>
      <c r="B21" s="11" t="inlineStr">
        <is>
          <t>배터리 플레이트</t>
        </is>
      </c>
      <c r="C21" s="12" t="inlineStr">
        <is>
          <t>NP-F 배터리 홀더 (리드선)</t>
        </is>
      </c>
      <c r="D21" s="13" t="n">
        <v>1</v>
      </c>
      <c r="E21" s="13" t="n">
        <v>0</v>
      </c>
      <c r="F21" s="11">
        <f>D21+E21*'비교'!$C$5</f>
        <v/>
      </c>
      <c r="G21" s="14" t="n">
        <v>4000</v>
      </c>
      <c r="H21" s="11" t="inlineStr">
        <is>
          <t>KRW</t>
        </is>
      </c>
      <c r="I21" s="15">
        <f>IF(H21="USD",G21*'비교'!$C$4,G21)</f>
        <v/>
      </c>
      <c r="J21" s="15">
        <f>F21*I21</f>
        <v/>
      </c>
      <c r="K21" s="11" t="inlineStr">
        <is>
          <t>추정</t>
        </is>
      </c>
      <c r="L21" s="11" t="inlineStr">
        <is>
          <t>알리익스프레스</t>
        </is>
      </c>
      <c r="M21" s="16" t="inlineStr">
        <is>
          <t>https://www.aliexpress.com/w/wholesale-NP-F-battery-plate-holder.html?SortType=price_asc</t>
        </is>
      </c>
      <c r="N21" s="11" t="inlineStr">
        <is>
          <t>검색</t>
        </is>
      </c>
      <c r="O21" s="12" t="inlineStr">
        <is>
          <t>네이버: https://search.shopping.naver.com/search/all?query=NP-F+%EB%B0%B0%ED%84%B0%EB%A6%AC+%ED%94%8C%EB%A0%88%EC%9D%B4%ED%8A%B8&amp;sort=price_asc</t>
        </is>
      </c>
      <c r="P21" s="12" t="inlineStr">
        <is>
          <t>출력물 power_support에 고정</t>
        </is>
      </c>
    </row>
    <row r="22">
      <c r="A22" s="11" t="inlineStr">
        <is>
          <t>전원</t>
        </is>
      </c>
      <c r="B22" s="11" t="inlineStr">
        <is>
          <t>5V 강압 모듈</t>
        </is>
      </c>
      <c r="C22" s="12" t="inlineStr">
        <is>
          <t>MP1584EN 3A</t>
        </is>
      </c>
      <c r="D22" s="13" t="n">
        <v>1</v>
      </c>
      <c r="E22" s="13" t="n">
        <v>1</v>
      </c>
      <c r="F22" s="11">
        <f>D22+E22*'비교'!$C$5</f>
        <v/>
      </c>
      <c r="G22" s="14" t="n">
        <v>1500</v>
      </c>
      <c r="H22" s="11" t="inlineStr">
        <is>
          <t>KRW</t>
        </is>
      </c>
      <c r="I22" s="15">
        <f>IF(H22="USD",G22*'비교'!$C$4,G22)</f>
        <v/>
      </c>
      <c r="J22" s="15">
        <f>F22*I22</f>
        <v/>
      </c>
      <c r="K22" s="11" t="inlineStr">
        <is>
          <t>추정</t>
        </is>
      </c>
      <c r="L22" s="11" t="inlineStr">
        <is>
          <t>네이버쇼핑 최저가</t>
        </is>
      </c>
      <c r="M22" s="16" t="inlineStr">
        <is>
          <t>https://search.shopping.naver.com/search/all?query=MP1584EN+%EA%B0%95%EC%95%95+%EB%AA%A8%EB%93%88&amp;sort=price_asc</t>
        </is>
      </c>
      <c r="N22" s="11" t="inlineStr">
        <is>
          <t>검색</t>
        </is>
      </c>
      <c r="O22" s="12" t="inlineStr"/>
      <c r="P22" s="12" t="inlineStr">
        <is>
          <t>SBC·센서용. 출력 5.1V로 조정 후 연결</t>
        </is>
      </c>
    </row>
    <row r="23">
      <c r="A23" s="11" t="inlineStr">
        <is>
          <t>전원</t>
        </is>
      </c>
      <c r="B23" s="11" t="inlineStr">
        <is>
          <t>전원 스위치</t>
        </is>
      </c>
      <c r="C23" s="12" t="inlineStr">
        <is>
          <t>슬라이드/로커 스위치 5 A 이상</t>
        </is>
      </c>
      <c r="D23" s="13" t="n">
        <v>1</v>
      </c>
      <c r="E23" s="13" t="n">
        <v>0</v>
      </c>
      <c r="F23" s="11">
        <f>D23+E23*'비교'!$C$5</f>
        <v/>
      </c>
      <c r="G23" s="14" t="n">
        <v>1000</v>
      </c>
      <c r="H23" s="11" t="inlineStr">
        <is>
          <t>KRW</t>
        </is>
      </c>
      <c r="I23" s="15">
        <f>IF(H23="USD",G23*'비교'!$C$4,G23)</f>
        <v/>
      </c>
      <c r="J23" s="15">
        <f>F23*I23</f>
        <v/>
      </c>
      <c r="K23" s="11" t="inlineStr">
        <is>
          <t>추정</t>
        </is>
      </c>
      <c r="L23" s="11" t="inlineStr">
        <is>
          <t>네이버쇼핑 최저가</t>
        </is>
      </c>
      <c r="M23" s="16" t="inlineStr">
        <is>
          <t>https://search.shopping.naver.com/search/all?query=%EB%AF%B8%EB%8B%88+%EB%A1%9C%EC%BB%A4%EC%8A%A4%EC%9C%84%EC%B9%98+5A&amp;sort=price_asc</t>
        </is>
      </c>
      <c r="N23" s="11" t="inlineStr">
        <is>
          <t>검색</t>
        </is>
      </c>
      <c r="O23" s="12" t="inlineStr"/>
      <c r="P23" s="12" t="inlineStr"/>
    </row>
    <row r="24">
      <c r="A24" s="11" t="inlineStr">
        <is>
          <t>전원</t>
        </is>
      </c>
      <c r="B24" s="11" t="inlineStr">
        <is>
          <t>퓨즈</t>
        </is>
      </c>
      <c r="C24" s="12" t="inlineStr">
        <is>
          <t>미니 블레이드 퓨즈 5A + 홀더</t>
        </is>
      </c>
      <c r="D24" s="13" t="n">
        <v>1</v>
      </c>
      <c r="E24" s="13" t="n">
        <v>0</v>
      </c>
      <c r="F24" s="11">
        <f>D24+E24*'비교'!$C$5</f>
        <v/>
      </c>
      <c r="G24" s="14" t="n">
        <v>1500</v>
      </c>
      <c r="H24" s="11" t="inlineStr">
        <is>
          <t>KRW</t>
        </is>
      </c>
      <c r="I24" s="15">
        <f>IF(H24="USD",G24*'비교'!$C$4,G24)</f>
        <v/>
      </c>
      <c r="J24" s="15">
        <f>F24*I24</f>
        <v/>
      </c>
      <c r="K24" s="11" t="inlineStr">
        <is>
          <t>추정</t>
        </is>
      </c>
      <c r="L24" s="11" t="inlineStr">
        <is>
          <t>네이버쇼핑 최저가</t>
        </is>
      </c>
      <c r="M24" s="16" t="inlineStr">
        <is>
          <t>https://search.shopping.naver.com/search/all?query=%EB%AF%B8%EB%8B%88+%EB%B8%94%EB%A0%88%EC%9D%B4%EB%93%9C+%ED%93%A8%EC%A6%88+%ED%99%80%EB%8D%94&amp;sort=price_asc</t>
        </is>
      </c>
      <c r="N24" s="11" t="inlineStr">
        <is>
          <t>검색</t>
        </is>
      </c>
      <c r="O24" s="12" t="inlineStr"/>
      <c r="P24" s="12" t="inlineStr">
        <is>
          <t>서보 버스 단락 보호</t>
        </is>
      </c>
    </row>
    <row r="25">
      <c r="A25" s="11" t="inlineStr">
        <is>
          <t>전원</t>
        </is>
      </c>
      <c r="B25" s="11" t="inlineStr">
        <is>
          <t>버스 허브 (자작)</t>
        </is>
      </c>
      <c r="C25" s="12" t="inlineStr">
        <is>
          <t>JST EH 3핀 기판 커넥터 ×5 + 만능기판 (전원 입력·목·다리 L/R·IMU 병렬)</t>
        </is>
      </c>
      <c r="D25" s="13" t="n">
        <v>1</v>
      </c>
      <c r="E25" s="13" t="n">
        <v>0</v>
      </c>
      <c r="F25" s="11">
        <f>D25+E25*'비교'!$C$5</f>
        <v/>
      </c>
      <c r="G25" s="14" t="n">
        <v>2000</v>
      </c>
      <c r="H25" s="11" t="inlineStr">
        <is>
          <t>KRW</t>
        </is>
      </c>
      <c r="I25" s="15">
        <f>IF(H25="USD",G25*'비교'!$C$4,G25)</f>
        <v/>
      </c>
      <c r="J25" s="15">
        <f>F25*I25</f>
        <v/>
      </c>
      <c r="K25" s="11" t="inlineStr">
        <is>
          <t>추정</t>
        </is>
      </c>
      <c r="L25" s="11" t="inlineStr">
        <is>
          <t>네이버쇼핑 최저가</t>
        </is>
      </c>
      <c r="M25" s="16" t="inlineStr">
        <is>
          <t>https://search.shopping.naver.com/search/all?query=JST+EH+2.5mm+3%ED%95%80+%EA%B8%B0%ED%8C%90+%EC%BB%A4%EB%84%A5%ED%84%B0&amp;sort=price_asc</t>
        </is>
      </c>
      <c r="N25" s="11" t="inlineStr">
        <is>
          <t>검색</t>
        </is>
      </c>
      <c r="O25" s="12" t="inlineStr"/>
      <c r="P25" s="12" t="inlineStr">
        <is>
          <t>몸통 전원부에 둔다 (docs/assembly/OPERATION.md 3절)</t>
        </is>
      </c>
    </row>
    <row r="26">
      <c r="A26" s="11" t="inlineStr">
        <is>
          <t>전원</t>
        </is>
      </c>
      <c r="B26" s="11" t="inlineStr">
        <is>
          <t>커넥터</t>
        </is>
      </c>
      <c r="C26" s="12" t="inlineStr">
        <is>
          <t>XT30 수/암 세트</t>
        </is>
      </c>
      <c r="D26" s="13" t="n">
        <v>2</v>
      </c>
      <c r="E26" s="13" t="n">
        <v>0</v>
      </c>
      <c r="F26" s="11">
        <f>D26+E26*'비교'!$C$5</f>
        <v/>
      </c>
      <c r="G26" s="14" t="n">
        <v>500</v>
      </c>
      <c r="H26" s="11" t="inlineStr">
        <is>
          <t>KRW</t>
        </is>
      </c>
      <c r="I26" s="15">
        <f>IF(H26="USD",G26*'비교'!$C$4,G26)</f>
        <v/>
      </c>
      <c r="J26" s="15">
        <f>F26*I26</f>
        <v/>
      </c>
      <c r="K26" s="11" t="inlineStr">
        <is>
          <t>추정</t>
        </is>
      </c>
      <c r="L26" s="11" t="inlineStr">
        <is>
          <t>알리익스프레스</t>
        </is>
      </c>
      <c r="M26" s="16" t="inlineStr">
        <is>
          <t>https://www.aliexpress.com/w/wholesale-XT30-connector.html?SortType=price_asc</t>
        </is>
      </c>
      <c r="N26" s="11" t="inlineStr">
        <is>
          <t>검색</t>
        </is>
      </c>
      <c r="O26" s="12" t="inlineStr"/>
      <c r="P26" s="12" t="inlineStr">
        <is>
          <t>저렴한 버전은 배터리 플레이트 리드선 직결</t>
        </is>
      </c>
    </row>
    <row r="27">
      <c r="A27" s="11" t="inlineStr">
        <is>
          <t>버스·PCB</t>
        </is>
      </c>
      <c r="B27" s="11" t="inlineStr">
        <is>
          <t>반이중 버퍼 IC</t>
        </is>
      </c>
      <c r="C27" s="12" t="inlineStr">
        <is>
          <t>SN74LVC2G241DCUR</t>
        </is>
      </c>
      <c r="D27" s="13" t="n">
        <v>1</v>
      </c>
      <c r="E27" s="13" t="n">
        <v>2</v>
      </c>
      <c r="F27" s="11">
        <f>D27+E27*'비교'!$C$5</f>
        <v/>
      </c>
      <c r="G27" s="23" t="n">
        <v>0.15</v>
      </c>
      <c r="H27" s="11" t="inlineStr">
        <is>
          <t>USD</t>
        </is>
      </c>
      <c r="I27" s="15">
        <f>IF(H27="USD",G27*'비교'!$C$4,G27)</f>
        <v/>
      </c>
      <c r="J27" s="15">
        <f>F27*I27</f>
        <v/>
      </c>
      <c r="K27" s="11" t="inlineStr">
        <is>
          <t>추정</t>
        </is>
      </c>
      <c r="L27" s="11" t="inlineStr">
        <is>
          <t>LCSC</t>
        </is>
      </c>
      <c r="M27" s="16" t="inlineStr">
        <is>
          <t>https://www.lcsc.com/search?q=SN74LVC2G241</t>
        </is>
      </c>
      <c r="N27" s="11" t="inlineStr">
        <is>
          <t>검색</t>
        </is>
      </c>
      <c r="O27" s="12" t="inlineStr"/>
      <c r="P27" s="12" t="inlineStr">
        <is>
          <t>ROBOTIS 레퍼런스 반이중 회로. 1단계는 변환기판에 납땜</t>
        </is>
      </c>
    </row>
    <row r="28">
      <c r="A28" s="11" t="inlineStr">
        <is>
          <t>버스·PCB</t>
        </is>
      </c>
      <c r="B28" s="11" t="inlineStr">
        <is>
          <t>자작 HAT PCB</t>
        </is>
      </c>
      <c r="C28" s="12" t="inlineStr">
        <is>
          <t>65×30 mm 2층 PCB 5장 (배송 포함)</t>
        </is>
      </c>
      <c r="D28" s="13" t="n">
        <v>1</v>
      </c>
      <c r="E28" s="13" t="n">
        <v>0</v>
      </c>
      <c r="F28" s="11">
        <f>D28+E28*'비교'!$C$5</f>
        <v/>
      </c>
      <c r="G28" s="23" t="n">
        <v>10</v>
      </c>
      <c r="H28" s="11" t="inlineStr">
        <is>
          <t>USD</t>
        </is>
      </c>
      <c r="I28" s="15">
        <f>IF(H28="USD",G28*'비교'!$C$4,G28)</f>
        <v/>
      </c>
      <c r="J28" s="15">
        <f>F28*I28</f>
        <v/>
      </c>
      <c r="K28" s="11" t="inlineStr">
        <is>
          <t>추정</t>
        </is>
      </c>
      <c r="L28" s="11" t="inlineStr">
        <is>
          <t>JLCPCB</t>
        </is>
      </c>
      <c r="M28" s="16" t="inlineStr">
        <is>
          <t>https://jlcpcb.com/</t>
        </is>
      </c>
      <c r="N28" s="11" t="inlineStr">
        <is>
          <t>사이트</t>
        </is>
      </c>
      <c r="O28" s="12" t="inlineStr"/>
      <c r="P28" s="12" t="inlineStr">
        <is>
          <t>LCSC 부품과 함께 주문하면 배송 합산. 저렴한 버전은 만능기판으로 대체 가능</t>
        </is>
      </c>
    </row>
    <row r="29">
      <c r="A29" s="11" t="inlineStr">
        <is>
          <t>버스·PCB</t>
        </is>
      </c>
      <c r="B29" s="11" t="inlineStr">
        <is>
          <t>다이나믹셀 커넥터</t>
        </is>
      </c>
      <c r="C29" s="12" t="inlineStr">
        <is>
          <t>JST EH 3핀 헤더 (B3B-EH-A)</t>
        </is>
      </c>
      <c r="D29" s="13" t="n">
        <v>6</v>
      </c>
      <c r="E29" s="13" t="n">
        <v>0</v>
      </c>
      <c r="F29" s="11">
        <f>D29+E29*'비교'!$C$5</f>
        <v/>
      </c>
      <c r="G29" s="14" t="n">
        <v>100</v>
      </c>
      <c r="H29" s="11" t="inlineStr">
        <is>
          <t>KRW</t>
        </is>
      </c>
      <c r="I29" s="15">
        <f>IF(H29="USD",G29*'비교'!$C$4,G29)</f>
        <v/>
      </c>
      <c r="J29" s="15">
        <f>F29*I29</f>
        <v/>
      </c>
      <c r="K29" s="11" t="inlineStr">
        <is>
          <t>추정</t>
        </is>
      </c>
      <c r="L29" s="11" t="inlineStr">
        <is>
          <t>알리익스프레스</t>
        </is>
      </c>
      <c r="M29" s="16" t="inlineStr">
        <is>
          <t>https://www.aliexpress.com/w/wholesale-JST-EH-2.5mm-3pin-header.html?SortType=price_asc</t>
        </is>
      </c>
      <c r="N29" s="11" t="inlineStr">
        <is>
          <t>검색</t>
        </is>
      </c>
      <c r="O29" s="12" t="inlineStr"/>
      <c r="P29" s="12" t="inlineStr">
        <is>
          <t>보통 수십 개 묶음</t>
        </is>
      </c>
    </row>
    <row r="30">
      <c r="A30" s="11" t="inlineStr">
        <is>
          <t>기구</t>
        </is>
      </c>
      <c r="B30" s="11" t="inlineStr">
        <is>
          <t>볼베어링 (대)</t>
        </is>
      </c>
      <c r="C30" s="12" t="inlineStr">
        <is>
          <t>16×22×4 mm (SMR2216ZZ)</t>
        </is>
      </c>
      <c r="D30" s="13" t="n">
        <v>11</v>
      </c>
      <c r="E30" s="13" t="n">
        <v>2</v>
      </c>
      <c r="F30" s="11">
        <f>D30+E30*'비교'!$C$5</f>
        <v/>
      </c>
      <c r="G30" s="14" t="n">
        <v>1200</v>
      </c>
      <c r="H30" s="11" t="inlineStr">
        <is>
          <t>KRW</t>
        </is>
      </c>
      <c r="I30" s="15">
        <f>IF(H30="USD",G30*'비교'!$C$4,G30)</f>
        <v/>
      </c>
      <c r="J30" s="15">
        <f>F30*I30</f>
        <v/>
      </c>
      <c r="K30" s="11" t="inlineStr">
        <is>
          <t>추정</t>
        </is>
      </c>
      <c r="L30" s="11" t="inlineStr">
        <is>
          <t>알리익스프레스</t>
        </is>
      </c>
      <c r="M30" s="16" t="inlineStr">
        <is>
          <t>https://www.aliexpress.com/w/wholesale-16x22x4-bearing.html?SortType=price_asc</t>
        </is>
      </c>
      <c r="N30" s="11" t="inlineStr">
        <is>
          <t>검색</t>
        </is>
      </c>
      <c r="O30" s="12" t="inlineStr">
        <is>
          <t>네이버: https://search.shopping.naver.com/search/all?query=16x22x4+%EB%B2%A0%EC%96%B4%EB%A7%81&amp;sort=price_asc</t>
        </is>
      </c>
      <c r="P30" s="12" t="inlineStr">
        <is>
          <t>MJCF 실측. 10개 묶음 2개</t>
        </is>
      </c>
    </row>
    <row r="31">
      <c r="A31" s="11" t="inlineStr">
        <is>
          <t>기구</t>
        </is>
      </c>
      <c r="B31" s="11" t="inlineStr">
        <is>
          <t>볼베어링 (소)</t>
        </is>
      </c>
      <c r="C31" s="12" t="inlineStr">
        <is>
          <t>10×15×3 mm</t>
        </is>
      </c>
      <c r="D31" s="13" t="n">
        <v>3</v>
      </c>
      <c r="E31" s="13" t="n">
        <v>1</v>
      </c>
      <c r="F31" s="11">
        <f>D31+E31*'비교'!$C$5</f>
        <v/>
      </c>
      <c r="G31" s="14" t="n">
        <v>1000</v>
      </c>
      <c r="H31" s="11" t="inlineStr">
        <is>
          <t>KRW</t>
        </is>
      </c>
      <c r="I31" s="15">
        <f>IF(H31="USD",G31*'비교'!$C$4,G31)</f>
        <v/>
      </c>
      <c r="J31" s="15">
        <f>F31*I31</f>
        <v/>
      </c>
      <c r="K31" s="11" t="inlineStr">
        <is>
          <t>추정</t>
        </is>
      </c>
      <c r="L31" s="11" t="inlineStr">
        <is>
          <t>알리익스프레스</t>
        </is>
      </c>
      <c r="M31" s="16" t="inlineStr">
        <is>
          <t>https://www.aliexpress.com/w/wholesale-10x15x3-bearing.html?SortType=price_asc</t>
        </is>
      </c>
      <c r="N31" s="11" t="inlineStr">
        <is>
          <t>검색</t>
        </is>
      </c>
      <c r="O31" s="12" t="inlineStr">
        <is>
          <t>네이버: https://search.shopping.naver.com/search/all?query=10x15x3+%EB%B2%A0%EC%96%B4%EB%A7%81&amp;sort=price_asc</t>
        </is>
      </c>
      <c r="P31" s="12" t="inlineStr">
        <is>
          <t>MJCF 실측</t>
        </is>
      </c>
    </row>
    <row r="32">
      <c r="A32" s="11" t="inlineStr">
        <is>
          <t>기구</t>
        </is>
      </c>
      <c r="B32" s="11" t="inlineStr">
        <is>
          <t>볼트 키트</t>
        </is>
      </c>
      <c r="C32" s="12" t="inlineStr">
        <is>
          <t>M2/M2.5/M3 볼트·너트 키트</t>
        </is>
      </c>
      <c r="D32" s="13" t="n">
        <v>1</v>
      </c>
      <c r="E32" s="13" t="n">
        <v>0</v>
      </c>
      <c r="F32" s="11">
        <f>D32+E32*'비교'!$C$5</f>
        <v/>
      </c>
      <c r="G32" s="14" t="n">
        <v>6000</v>
      </c>
      <c r="H32" s="11" t="inlineStr">
        <is>
          <t>KRW</t>
        </is>
      </c>
      <c r="I32" s="15">
        <f>IF(H32="USD",G32*'비교'!$C$4,G32)</f>
        <v/>
      </c>
      <c r="J32" s="15">
        <f>F32*I32</f>
        <v/>
      </c>
      <c r="K32" s="11" t="inlineStr">
        <is>
          <t>추정</t>
        </is>
      </c>
      <c r="L32" s="11" t="inlineStr">
        <is>
          <t>알리익스프레스</t>
        </is>
      </c>
      <c r="M32" s="16" t="inlineStr">
        <is>
          <t>https://www.aliexpress.com/w/wholesale-M2-M2.5-M3-screw-kit.html?SortType=price_asc</t>
        </is>
      </c>
      <c r="N32" s="11" t="inlineStr">
        <is>
          <t>검색</t>
        </is>
      </c>
      <c r="O32" s="12" t="inlineStr"/>
      <c r="P32" s="12" t="inlineStr">
        <is>
          <t>보유 시 0원. 서보 체결은 동봉 M2 탭볼트</t>
        </is>
      </c>
    </row>
    <row r="33">
      <c r="A33" s="11" t="inlineStr">
        <is>
          <t>기구</t>
        </is>
      </c>
      <c r="B33" s="11" t="inlineStr">
        <is>
          <t>인서트 너트</t>
        </is>
      </c>
      <c r="C33" s="12" t="inlineStr">
        <is>
          <t>M2/M2.5 열압착 인서트</t>
        </is>
      </c>
      <c r="D33" s="13" t="n">
        <v>1</v>
      </c>
      <c r="E33" s="13" t="n">
        <v>0</v>
      </c>
      <c r="F33" s="11">
        <f>D33+E33*'비교'!$C$5</f>
        <v/>
      </c>
      <c r="G33" s="14" t="n">
        <v>4000</v>
      </c>
      <c r="H33" s="11" t="inlineStr">
        <is>
          <t>KRW</t>
        </is>
      </c>
      <c r="I33" s="15">
        <f>IF(H33="USD",G33*'비교'!$C$4,G33)</f>
        <v/>
      </c>
      <c r="J33" s="15">
        <f>F33*I33</f>
        <v/>
      </c>
      <c r="K33" s="11" t="inlineStr">
        <is>
          <t>추정</t>
        </is>
      </c>
      <c r="L33" s="11" t="inlineStr">
        <is>
          <t>알리익스프레스</t>
        </is>
      </c>
      <c r="M33" s="16" t="inlineStr">
        <is>
          <t>https://www.aliexpress.com/w/wholesale-M2-heat-set-insert.html?SortType=price_asc</t>
        </is>
      </c>
      <c r="N33" s="11" t="inlineStr">
        <is>
          <t>검색</t>
        </is>
      </c>
      <c r="O33" s="12" t="inlineStr"/>
      <c r="P33" s="12" t="inlineStr">
        <is>
          <t>저렴한 버전은 탭볼트 직결</t>
        </is>
      </c>
    </row>
    <row r="34">
      <c r="A34" s="11" t="inlineStr">
        <is>
          <t>기구</t>
        </is>
      </c>
      <c r="B34" s="11" t="inlineStr">
        <is>
          <t>판재 4종 (알루미늄)</t>
        </is>
      </c>
      <c r="C34" s="12" t="inlineStr">
        <is>
          <t>레이저 가공: 1 mm ×5장(보강판2·몸통판1·롤판2) + 2 mm ×2장(목판)</t>
        </is>
      </c>
      <c r="D34" s="13" t="n">
        <v>1</v>
      </c>
      <c r="E34" s="13" t="n">
        <v>0</v>
      </c>
      <c r="F34" s="11">
        <f>D34+E34*'비교'!$C$5</f>
        <v/>
      </c>
      <c r="G34" s="14" t="n">
        <v>40000</v>
      </c>
      <c r="H34" s="11" t="inlineStr">
        <is>
          <t>KRW</t>
        </is>
      </c>
      <c r="I34" s="15">
        <f>IF(H34="USD",G34*'비교'!$C$4,G34)</f>
        <v/>
      </c>
      <c r="J34" s="15">
        <f>F34*I34</f>
        <v/>
      </c>
      <c r="K34" s="11" t="inlineStr">
        <is>
          <t>추정</t>
        </is>
      </c>
      <c r="L34" s="11" t="inlineStr">
        <is>
          <t>레이저 가공 업체</t>
        </is>
      </c>
      <c r="M34" s="16" t="inlineStr">
        <is>
          <t>https://search.shopping.naver.com/search/all?query=%EC%95%8C%EB%A3%A8%EB%AF%B8%EB%8A%84+%EB%A0%88%EC%9D%B4%EC%A0%80+%EA%B0%80%EA%B3%B5+%EC%86%8C%EB%9F%89&amp;sort=price_asc</t>
        </is>
      </c>
      <c r="N34" s="11" t="inlineStr">
        <is>
          <t>검색</t>
        </is>
      </c>
      <c r="O34" s="12" t="inlineStr">
        <is>
          <t>JLCCNC 판금: https://jlccnc.com/ / PCBWay: https://www.pcbway.com/</t>
        </is>
      </c>
      <c r="P34" s="12" t="inlineStr">
        <is>
          <t>DXF: cad/plates/dynamixel. 소량 최소주문·배송비 때문에 견적 편차 큼 — 견적 받아 수정</t>
        </is>
      </c>
    </row>
    <row r="35">
      <c r="A35" s="11" t="inlineStr">
        <is>
          <t>출력소재</t>
        </is>
      </c>
      <c r="B35" s="11" t="inlineStr">
        <is>
          <t>경질 필라멘트</t>
        </is>
      </c>
      <c r="C35" s="12" t="inlineStr">
        <is>
          <t>PETG 1 kg</t>
        </is>
      </c>
      <c r="D35" s="13" t="n">
        <v>1</v>
      </c>
      <c r="E35" s="13" t="n">
        <v>0</v>
      </c>
      <c r="F35" s="11">
        <f>D35+E35*'비교'!$C$5</f>
        <v/>
      </c>
      <c r="G35" s="14" t="n">
        <v>15000</v>
      </c>
      <c r="H35" s="11" t="inlineStr">
        <is>
          <t>KRW</t>
        </is>
      </c>
      <c r="I35" s="15">
        <f>IF(H35="USD",G35*'비교'!$C$4,G35)</f>
        <v/>
      </c>
      <c r="J35" s="15">
        <f>F35*I35</f>
        <v/>
      </c>
      <c r="K35" s="11" t="inlineStr">
        <is>
          <t>추정</t>
        </is>
      </c>
      <c r="L35" s="11" t="inlineStr">
        <is>
          <t>네이버쇼핑 최저가</t>
        </is>
      </c>
      <c r="M35" s="16" t="inlineStr">
        <is>
          <t>https://search.shopping.naver.com/search/all?query=PETG+%ED%95%84%EB%9D%BC%EB%A9%98%ED%8A%B8+1kg&amp;sort=price_asc</t>
        </is>
      </c>
      <c r="N35" s="11" t="inlineStr">
        <is>
          <t>검색</t>
        </is>
      </c>
      <c r="O35" s="12" t="inlineStr"/>
      <c r="P35" s="12" t="inlineStr">
        <is>
          <t>보유 재고 있으면 0원. 실부피 약 207 cm³</t>
        </is>
      </c>
    </row>
    <row r="36">
      <c r="A36" s="11" t="inlineStr">
        <is>
          <t>출력소재</t>
        </is>
      </c>
      <c r="B36" s="11" t="inlineStr">
        <is>
          <t>연질 필라멘트</t>
        </is>
      </c>
      <c r="C36" s="12" t="inlineStr">
        <is>
          <t>TPU 95A 0.5–1 kg</t>
        </is>
      </c>
      <c r="D36" s="13" t="n">
        <v>1</v>
      </c>
      <c r="E36" s="13" t="n">
        <v>0</v>
      </c>
      <c r="F36" s="11">
        <f>D36+E36*'비교'!$C$5</f>
        <v/>
      </c>
      <c r="G36" s="14" t="n">
        <v>18000</v>
      </c>
      <c r="H36" s="11" t="inlineStr">
        <is>
          <t>KRW</t>
        </is>
      </c>
      <c r="I36" s="15">
        <f>IF(H36="USD",G36*'비교'!$C$4,G36)</f>
        <v/>
      </c>
      <c r="J36" s="15">
        <f>F36*I36</f>
        <v/>
      </c>
      <c r="K36" s="11" t="inlineStr">
        <is>
          <t>추정</t>
        </is>
      </c>
      <c r="L36" s="11" t="inlineStr">
        <is>
          <t>네이버쇼핑 최저가</t>
        </is>
      </c>
      <c r="M36" s="16" t="inlineStr">
        <is>
          <t>https://search.shopping.naver.com/search/all?query=TPU+95A+%ED%95%84%EB%9D%BC%EB%A9%98%ED%8A%B8&amp;sort=price_asc</t>
        </is>
      </c>
      <c r="N36" s="11" t="inlineStr">
        <is>
          <t>검색</t>
        </is>
      </c>
      <c r="O36" s="12" t="inlineStr"/>
      <c r="P36" s="12" t="inlineStr">
        <is>
          <t>발바닥·부리 연질부 약 34 cm³</t>
        </is>
      </c>
    </row>
    <row r="37">
      <c r="A37" s="11" t="inlineStr">
        <is>
          <t>기타</t>
        </is>
      </c>
      <c r="B37" s="11" t="inlineStr">
        <is>
          <t>게임패드</t>
        </is>
      </c>
      <c r="C37" s="12" t="inlineStr">
        <is>
          <t>Xbox 무선 컨트롤러</t>
        </is>
      </c>
      <c r="D37" s="13" t="n">
        <v>1</v>
      </c>
      <c r="E37" s="13" t="n">
        <v>0</v>
      </c>
      <c r="F37" s="11">
        <f>D37+E37*'비교'!$C$5</f>
        <v/>
      </c>
      <c r="G37" s="14" t="n">
        <v>55000</v>
      </c>
      <c r="H37" s="11" t="inlineStr">
        <is>
          <t>KRW</t>
        </is>
      </c>
      <c r="I37" s="15">
        <f>IF(H37="USD",G37*'비교'!$C$4,G37)</f>
        <v/>
      </c>
      <c r="J37" s="15">
        <f>F37*I37</f>
        <v/>
      </c>
      <c r="K37" s="11" t="inlineStr">
        <is>
          <t>추정</t>
        </is>
      </c>
      <c r="L37" s="11" t="inlineStr">
        <is>
          <t>네이버쇼핑 최저가</t>
        </is>
      </c>
      <c r="M37" s="16" t="inlineStr">
        <is>
          <t>https://search.shopping.naver.com/search/all?query=Xbox+%EB%AC%B4%EC%84%A0+%EC%BB%A8%ED%8A%B8%EB%A1%A4%EB%9F%AC&amp;sort=price_asc</t>
        </is>
      </c>
      <c r="N37" s="11" t="inlineStr">
        <is>
          <t>검색</t>
        </is>
      </c>
      <c r="O37" s="12" t="inlineStr"/>
      <c r="P37" s="12" t="inlineStr">
        <is>
          <t>원본 기본 조종기. 저렴한 버전은 노트북 UDP 패드(런타임 지원)</t>
        </is>
      </c>
    </row>
    <row r="39">
      <c r="I39" s="7" t="inlineStr">
        <is>
          <t>합계</t>
        </is>
      </c>
      <c r="J39" s="8">
        <f>SUM(J6:J37)</f>
        <v/>
      </c>
    </row>
    <row r="40">
      <c r="I40" s="7" t="inlineStr">
        <is>
          <t>서보 비중</t>
        </is>
      </c>
      <c r="J40" s="24">
        <f>IFERROR(J6/J39,0)</f>
        <v/>
      </c>
    </row>
  </sheetData>
  <autoFilter ref="A5:P37"/>
  <hyperlinks>
    <hyperlink xmlns:r="http://schemas.openxmlformats.org/officeDocument/2006/relationships" ref="M6" r:id="rId1"/>
    <hyperlink xmlns:r="http://schemas.openxmlformats.org/officeDocument/2006/relationships" ref="M7" r:id="rId2"/>
    <hyperlink xmlns:r="http://schemas.openxmlformats.org/officeDocument/2006/relationships" ref="M8" r:id="rId3"/>
    <hyperlink xmlns:r="http://schemas.openxmlformats.org/officeDocument/2006/relationships" ref="M9" r:id="rId4"/>
    <hyperlink xmlns:r="http://schemas.openxmlformats.org/officeDocument/2006/relationships" ref="M10" r:id="rId5"/>
    <hyperlink xmlns:r="http://schemas.openxmlformats.org/officeDocument/2006/relationships" ref="M11" r:id="rId6"/>
    <hyperlink xmlns:r="http://schemas.openxmlformats.org/officeDocument/2006/relationships" ref="M12" r:id="rId7"/>
    <hyperlink xmlns:r="http://schemas.openxmlformats.org/officeDocument/2006/relationships" ref="M13" r:id="rId8"/>
    <hyperlink xmlns:r="http://schemas.openxmlformats.org/officeDocument/2006/relationships" ref="M14" r:id="rId9"/>
    <hyperlink xmlns:r="http://schemas.openxmlformats.org/officeDocument/2006/relationships" ref="M15" r:id="rId10"/>
    <hyperlink xmlns:r="http://schemas.openxmlformats.org/officeDocument/2006/relationships" ref="M16" r:id="rId11"/>
    <hyperlink xmlns:r="http://schemas.openxmlformats.org/officeDocument/2006/relationships" ref="M17" r:id="rId12"/>
    <hyperlink xmlns:r="http://schemas.openxmlformats.org/officeDocument/2006/relationships" ref="M18" r:id="rId13"/>
    <hyperlink xmlns:r="http://schemas.openxmlformats.org/officeDocument/2006/relationships" ref="M19" r:id="rId14"/>
    <hyperlink xmlns:r="http://schemas.openxmlformats.org/officeDocument/2006/relationships" ref="M20" r:id="rId15"/>
    <hyperlink xmlns:r="http://schemas.openxmlformats.org/officeDocument/2006/relationships" ref="M21" r:id="rId16"/>
    <hyperlink xmlns:r="http://schemas.openxmlformats.org/officeDocument/2006/relationships" ref="M22" r:id="rId17"/>
    <hyperlink xmlns:r="http://schemas.openxmlformats.org/officeDocument/2006/relationships" ref="M23" r:id="rId18"/>
    <hyperlink xmlns:r="http://schemas.openxmlformats.org/officeDocument/2006/relationships" ref="M24" r:id="rId19"/>
    <hyperlink xmlns:r="http://schemas.openxmlformats.org/officeDocument/2006/relationships" ref="M25" r:id="rId20"/>
    <hyperlink xmlns:r="http://schemas.openxmlformats.org/officeDocument/2006/relationships" ref="M26" r:id="rId21"/>
    <hyperlink xmlns:r="http://schemas.openxmlformats.org/officeDocument/2006/relationships" ref="M27" r:id="rId22"/>
    <hyperlink xmlns:r="http://schemas.openxmlformats.org/officeDocument/2006/relationships" ref="M28" r:id="rId23"/>
    <hyperlink xmlns:r="http://schemas.openxmlformats.org/officeDocument/2006/relationships" ref="M29" r:id="rId24"/>
    <hyperlink xmlns:r="http://schemas.openxmlformats.org/officeDocument/2006/relationships" ref="M30" r:id="rId25"/>
    <hyperlink xmlns:r="http://schemas.openxmlformats.org/officeDocument/2006/relationships" ref="M31" r:id="rId26"/>
    <hyperlink xmlns:r="http://schemas.openxmlformats.org/officeDocument/2006/relationships" ref="M32" r:id="rId27"/>
    <hyperlink xmlns:r="http://schemas.openxmlformats.org/officeDocument/2006/relationships" ref="M33" r:id="rId28"/>
    <hyperlink xmlns:r="http://schemas.openxmlformats.org/officeDocument/2006/relationships" ref="M34" r:id="rId29"/>
    <hyperlink xmlns:r="http://schemas.openxmlformats.org/officeDocument/2006/relationships" ref="M35" r:id="rId30"/>
    <hyperlink xmlns:r="http://schemas.openxmlformats.org/officeDocument/2006/relationships" ref="M36" r:id="rId31"/>
    <hyperlink xmlns:r="http://schemas.openxmlformats.org/officeDocument/2006/relationships" ref="M37" r:id="rId3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1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38" customWidth="1" min="3" max="3"/>
    <col width="6" customWidth="1" min="4" max="4"/>
    <col width="6" customWidth="1" min="5" max="5"/>
    <col width="7" customWidth="1" min="6" max="6"/>
    <col width="10" customWidth="1" min="7" max="7"/>
    <col width="6" customWidth="1" min="8" max="8"/>
    <col width="11" customWidth="1" min="9" max="9"/>
    <col width="12" customWidth="1" min="10" max="10"/>
    <col width="8" customWidth="1" min="11" max="11"/>
    <col width="22" customWidth="1" min="12" max="12"/>
    <col width="40" customWidth="1" min="13" max="13"/>
    <col width="8" customWidth="1" min="14" max="14"/>
    <col width="50" customWidth="1" min="15" max="15"/>
    <col width="60" customWidth="1" min="16" max="16"/>
  </cols>
  <sheetData>
    <row r="1">
      <c r="A1" s="1" t="inlineStr">
        <is>
          <t>Microduck 클론 BOM — 저렴한 버전</t>
        </is>
      </c>
    </row>
    <row r="2">
      <c r="A2" s="2" t="inlineStr">
        <is>
          <t>다이나믹셀 · 걷기에 필요한 것만: 14축(부리 고정), 센서·오디오·게임패드 제외, CP2102로 U2D2 대체, 예비 없음.</t>
        </is>
      </c>
    </row>
    <row r="3">
      <c r="A3" s="2" t="inlineStr">
        <is>
          <t>환율·예비 포함 여부는 '비교' 시트의 노란 칸에서 바꾼다. 쿠폰 할인·배송비 미반영.</t>
        </is>
      </c>
    </row>
    <row r="5">
      <c r="A5" s="10" t="inlineStr">
        <is>
          <t>분류</t>
        </is>
      </c>
      <c r="B5" s="10" t="inlineStr">
        <is>
          <t>품목</t>
        </is>
      </c>
      <c r="C5" s="10" t="inlineStr">
        <is>
          <t>규격/모델</t>
        </is>
      </c>
      <c r="D5" s="10" t="inlineStr">
        <is>
          <t>수량</t>
        </is>
      </c>
      <c r="E5" s="10" t="inlineStr">
        <is>
          <t>예비</t>
        </is>
      </c>
      <c r="F5" s="10" t="inlineStr">
        <is>
          <t>총수량</t>
        </is>
      </c>
      <c r="G5" s="10" t="inlineStr">
        <is>
          <t>단가</t>
        </is>
      </c>
      <c r="H5" s="10" t="inlineStr">
        <is>
          <t>통화</t>
        </is>
      </c>
      <c r="I5" s="10" t="inlineStr">
        <is>
          <t>단가(원)</t>
        </is>
      </c>
      <c r="J5" s="10" t="inlineStr">
        <is>
          <t>합계(원)</t>
        </is>
      </c>
      <c r="K5" s="10" t="inlineStr">
        <is>
          <t>가격근거</t>
        </is>
      </c>
      <c r="L5" s="10" t="inlineStr">
        <is>
          <t>구매처</t>
        </is>
      </c>
      <c r="M5" s="10" t="inlineStr">
        <is>
          <t>구매 링크</t>
        </is>
      </c>
      <c r="N5" s="10" t="inlineStr">
        <is>
          <t>링크유형</t>
        </is>
      </c>
      <c r="O5" s="10" t="inlineStr">
        <is>
          <t>대안 구매처</t>
        </is>
      </c>
      <c r="P5" s="10" t="inlineStr">
        <is>
          <t>메모</t>
        </is>
      </c>
    </row>
    <row r="6">
      <c r="A6" s="11" t="inlineStr">
        <is>
          <t>구동</t>
        </is>
      </c>
      <c r="B6" s="11" t="inlineStr">
        <is>
          <t>다이나믹셀 서보</t>
        </is>
      </c>
      <c r="C6" s="12" t="inlineStr">
        <is>
          <t>ROBOTIS XL330-M288-T</t>
        </is>
      </c>
      <c r="D6" s="13" t="n">
        <v>14</v>
      </c>
      <c r="E6" s="13" t="n">
        <v>0</v>
      </c>
      <c r="F6" s="11">
        <f>D6+E6*'비교'!$C$5</f>
        <v/>
      </c>
      <c r="G6" s="14" t="n">
        <v>26400</v>
      </c>
      <c r="H6" s="11" t="inlineStr">
        <is>
          <t>KRW</t>
        </is>
      </c>
      <c r="I6" s="15">
        <f>IF(H6="USD",G6*'비교'!$C$4,G6)</f>
        <v/>
      </c>
      <c r="J6" s="15">
        <f>F6*I6</f>
        <v/>
      </c>
      <c r="K6" s="11" t="inlineStr">
        <is>
          <t>확인</t>
        </is>
      </c>
      <c r="L6" s="11" t="inlineStr">
        <is>
          <t>로보티즈 공식몰</t>
        </is>
      </c>
      <c r="M6" s="16" t="inlineStr">
        <is>
          <t>https://www.robotis.com/shop/item.php?it_id=902-0163-000</t>
        </is>
      </c>
      <c r="N6" s="11" t="inlineStr">
        <is>
          <t>상품</t>
        </is>
      </c>
      <c r="O6" s="12" t="inlineStr">
        <is>
          <t>로보몰(동일가, 품절): https://robomall.co.kr/product/%EB%8B%A4%EC%9D%B4%EB%82%98%EB%AF%B9%EC%85%80-xl330-m288-t/21150/</t>
        </is>
      </c>
      <c r="P6" s="12" t="inlineStr">
        <is>
          <t>준비기간 40일 → 가장 먼저 주문. 5만원 이상 무료배송. 저렴한 버전은 부리(ID 34) 생략 → 14개</t>
        </is>
      </c>
    </row>
    <row r="7">
      <c r="A7" s="11" t="inlineStr">
        <is>
          <t>구동</t>
        </is>
      </c>
      <c r="B7" s="11" t="inlineStr">
        <is>
          <t>USB-TTL 변환기 (U2D2 대용)</t>
        </is>
      </c>
      <c r="C7" s="12" t="inlineStr">
        <is>
          <t>CP2102 모듈 3.3V</t>
        </is>
      </c>
      <c r="D7" s="13" t="n">
        <v>1</v>
      </c>
      <c r="E7" s="13" t="n">
        <v>0</v>
      </c>
      <c r="F7" s="11">
        <f>D7+E7*'비교'!$C$5</f>
        <v/>
      </c>
      <c r="G7" s="14" t="n">
        <v>2500</v>
      </c>
      <c r="H7" s="11" t="inlineStr">
        <is>
          <t>KRW</t>
        </is>
      </c>
      <c r="I7" s="15">
        <f>IF(H7="USD",G7*'비교'!$C$4,G7)</f>
        <v/>
      </c>
      <c r="J7" s="15">
        <f>F7*I7</f>
        <v/>
      </c>
      <c r="K7" s="11" t="inlineStr">
        <is>
          <t>추정</t>
        </is>
      </c>
      <c r="L7" s="11" t="inlineStr">
        <is>
          <t>네이버쇼핑 최저가</t>
        </is>
      </c>
      <c r="M7" s="16" t="inlineStr">
        <is>
          <t>https://search.shopping.naver.com/search/all?query=CP2102+USB+TTL+%EB%AA%A8%EB%93%88&amp;sort=price_asc</t>
        </is>
      </c>
      <c r="N7" s="11" t="inlineStr">
        <is>
          <t>검색</t>
        </is>
      </c>
      <c r="O7" s="12" t="inlineStr"/>
      <c r="P7" s="12" t="inlineStr">
        <is>
          <t>SN74LVC2G241 반이중 회로와 함께 서보 ID 설정·벤치 테스트</t>
        </is>
      </c>
    </row>
    <row r="8">
      <c r="A8" s="11" t="inlineStr">
        <is>
          <t>구동</t>
        </is>
      </c>
      <c r="B8" s="11" t="inlineStr">
        <is>
          <t>버스 케이블 자작</t>
        </is>
      </c>
      <c r="C8" s="12" t="inlineStr">
        <is>
          <t>JST EH 3핀 케이블 180 mm 2가닥</t>
        </is>
      </c>
      <c r="D8" s="13" t="n">
        <v>1</v>
      </c>
      <c r="E8" s="13" t="n">
        <v>0</v>
      </c>
      <c r="F8" s="11">
        <f>D8+E8*'비교'!$C$5</f>
        <v/>
      </c>
      <c r="G8" s="14" t="n">
        <v>1000</v>
      </c>
      <c r="H8" s="11" t="inlineStr">
        <is>
          <t>KRW</t>
        </is>
      </c>
      <c r="I8" s="15">
        <f>IF(H8="USD",G8*'비교'!$C$4,G8)</f>
        <v/>
      </c>
      <c r="J8" s="15">
        <f>F8*I8</f>
        <v/>
      </c>
      <c r="K8" s="11" t="inlineStr">
        <is>
          <t>추정</t>
        </is>
      </c>
      <c r="L8" s="11" t="inlineStr">
        <is>
          <t>네이버쇼핑 최저가</t>
        </is>
      </c>
      <c r="M8" s="16" t="inlineStr">
        <is>
          <t>https://search.shopping.naver.com/search/all?query=JST+EH+3%ED%95%80+%EC%BC%80%EC%9D%B4%EB%B8%94&amp;sort=price_asc</t>
        </is>
      </c>
      <c r="N8" s="11" t="inlineStr">
        <is>
          <t>검색</t>
        </is>
      </c>
      <c r="O8" s="12" t="inlineStr"/>
      <c r="P8" s="12" t="inlineStr">
        <is>
          <t>저렴한 버전: 필요 16가닥(부리 서보 없음) vs 동봉 14가닥</t>
        </is>
      </c>
    </row>
    <row r="9">
      <c r="A9" s="17" t="inlineStr">
        <is>
          <t>컴퓨팅</t>
        </is>
      </c>
      <c r="B9" s="17" t="inlineStr">
        <is>
          <t>메인 SBC</t>
        </is>
      </c>
      <c r="C9" s="18" t="inlineStr">
        <is>
          <t>Radxa Zero 3W (1GB/8GB eMMC 또는 2GB/16GB)</t>
        </is>
      </c>
      <c r="D9" s="19" t="n">
        <v>1</v>
      </c>
      <c r="E9" s="19" t="n">
        <v>0</v>
      </c>
      <c r="F9" s="17">
        <f>D9+E9*'비교'!$C$5</f>
        <v/>
      </c>
      <c r="G9" s="20" t="n">
        <v>20</v>
      </c>
      <c r="H9" s="17" t="inlineStr">
        <is>
          <t>USD</t>
        </is>
      </c>
      <c r="I9" s="21">
        <f>IF(H9="USD",G9*'비교'!$C$4,G9)</f>
        <v/>
      </c>
      <c r="J9" s="21">
        <f>F9*I9</f>
        <v/>
      </c>
      <c r="K9" s="17" t="inlineStr">
        <is>
          <t>확인</t>
        </is>
      </c>
      <c r="L9" s="17" t="inlineStr">
        <is>
          <t>ARACE (Radxa 공식 파트너)</t>
        </is>
      </c>
      <c r="M9" s="22" t="inlineStr">
        <is>
          <t>https://arace.tech/products/radxa-zero-3w</t>
        </is>
      </c>
      <c r="N9" s="17" t="inlineStr">
        <is>
          <t>상품</t>
        </is>
      </c>
      <c r="O9" s="18" t="inlineStr">
        <is>
          <t>알리: https://www.aliexpress.com/w/wholesale-Radxa-Zero-3W.html?SortType=price_asc / allnetchina: https://shop.allnetchina.cn/products/copy-of-radxa-zero-3w</t>
        </is>
      </c>
      <c r="P9" s="18" t="inlineStr">
        <is>
          <t>⚠ 2026-10-29 확인 시 ARACE·ameridroid·allnetchina 전 모델 품절. 재입고 알림 신청. 대안: Orange Pi Zero 2W / Pi Zero 2W (같은 65×30, 런타임 포팅 필요)</t>
        </is>
      </c>
    </row>
    <row r="10">
      <c r="A10" s="11" t="inlineStr">
        <is>
          <t>컴퓨팅</t>
        </is>
      </c>
      <c r="B10" s="11" t="inlineStr">
        <is>
          <t>방열판</t>
        </is>
      </c>
      <c r="C10" s="12" t="inlineStr">
        <is>
          <t>Radxa ZERO 3W/3E 전용 히트싱크</t>
        </is>
      </c>
      <c r="D10" s="13" t="n">
        <v>1</v>
      </c>
      <c r="E10" s="13" t="n">
        <v>0</v>
      </c>
      <c r="F10" s="11">
        <f>D10+E10*'비교'!$C$5</f>
        <v/>
      </c>
      <c r="G10" s="14" t="n">
        <v>3000</v>
      </c>
      <c r="H10" s="11" t="inlineStr">
        <is>
          <t>KRW</t>
        </is>
      </c>
      <c r="I10" s="15">
        <f>IF(H10="USD",G10*'비교'!$C$4,G10)</f>
        <v/>
      </c>
      <c r="J10" s="15">
        <f>F10*I10</f>
        <v/>
      </c>
      <c r="K10" s="11" t="inlineStr">
        <is>
          <t>추정</t>
        </is>
      </c>
      <c r="L10" s="11" t="inlineStr">
        <is>
          <t>알리익스프레스</t>
        </is>
      </c>
      <c r="M10" s="16" t="inlineStr">
        <is>
          <t>https://www.aliexpress.us/item/3256806829446736.html</t>
        </is>
      </c>
      <c r="N10" s="11" t="inlineStr">
        <is>
          <t>상품</t>
        </is>
      </c>
      <c r="O10" s="12" t="inlineStr"/>
      <c r="P10" s="12" t="inlineStr">
        <is>
          <t>원본 문서에 95 °C 스로틀링 사례</t>
        </is>
      </c>
    </row>
    <row r="11">
      <c r="A11" s="11" t="inlineStr">
        <is>
          <t>컴퓨팅</t>
        </is>
      </c>
      <c r="B11" s="11" t="inlineStr">
        <is>
          <t>microSD</t>
        </is>
      </c>
      <c r="C11" s="12" t="inlineStr">
        <is>
          <t>32GB A1 (eMMC 없는 보드일 때만)</t>
        </is>
      </c>
      <c r="D11" s="13" t="n">
        <v>1</v>
      </c>
      <c r="E11" s="13" t="n">
        <v>0</v>
      </c>
      <c r="F11" s="11">
        <f>D11+E11*'비교'!$C$5</f>
        <v/>
      </c>
      <c r="G11" s="14" t="n">
        <v>6000</v>
      </c>
      <c r="H11" s="11" t="inlineStr">
        <is>
          <t>KRW</t>
        </is>
      </c>
      <c r="I11" s="15">
        <f>IF(H11="USD",G11*'비교'!$C$4,G11)</f>
        <v/>
      </c>
      <c r="J11" s="15">
        <f>F11*I11</f>
        <v/>
      </c>
      <c r="K11" s="11" t="inlineStr">
        <is>
          <t>추정</t>
        </is>
      </c>
      <c r="L11" s="11" t="inlineStr">
        <is>
          <t>네이버쇼핑 최저가</t>
        </is>
      </c>
      <c r="M11" s="16" t="inlineStr">
        <is>
          <t>https://search.shopping.naver.com/search/all?query=microSD+32GB+A1&amp;sort=price_asc</t>
        </is>
      </c>
      <c r="N11" s="11" t="inlineStr">
        <is>
          <t>검색</t>
        </is>
      </c>
      <c r="O11" s="12" t="inlineStr"/>
      <c r="P11" s="12" t="inlineStr">
        <is>
          <t>eMMC 없는 저가 보드 선택 시. 보유 중이면 0원</t>
        </is>
      </c>
    </row>
    <row r="12">
      <c r="A12" s="11" t="inlineStr">
        <is>
          <t>센서</t>
        </is>
      </c>
      <c r="B12" s="11" t="inlineStr">
        <is>
          <t>몸통 IMU</t>
        </is>
      </c>
      <c r="C12" s="12" t="inlineStr">
        <is>
          <t>SparkFun 6DoF LSM6DSV16X (Qwiic) SEN-21325</t>
        </is>
      </c>
      <c r="D12" s="13" t="n">
        <v>1</v>
      </c>
      <c r="E12" s="13" t="n">
        <v>0</v>
      </c>
      <c r="F12" s="11">
        <f>D12+E12*'비교'!$C$5</f>
        <v/>
      </c>
      <c r="G12" s="23" t="n">
        <v>24.54</v>
      </c>
      <c r="H12" s="11" t="inlineStr">
        <is>
          <t>USD</t>
        </is>
      </c>
      <c r="I12" s="15">
        <f>IF(H12="USD",G12*'비교'!$C$4,G12)</f>
        <v/>
      </c>
      <c r="J12" s="15">
        <f>F12*I12</f>
        <v/>
      </c>
      <c r="K12" s="11" t="inlineStr">
        <is>
          <t>확인</t>
        </is>
      </c>
      <c r="L12" s="11" t="inlineStr">
        <is>
          <t>SparkFun</t>
        </is>
      </c>
      <c r="M12" s="16" t="inlineStr">
        <is>
          <t>https://www.sparkfun.com/sparkfun-6dof-imu-breakout-lsm6dsv16x-qwiic.html</t>
        </is>
      </c>
      <c r="N12" s="11" t="inlineStr">
        <is>
          <t>상품</t>
        </is>
      </c>
      <c r="O12" s="12" t="inlineStr">
        <is>
          <t>알리 저가 모듈: https://www.aliexpress.com/w/wholesale-LSM6DSV16X-module.html?SortType=price_asc</t>
        </is>
      </c>
      <c r="P12" s="12" t="inlineStr">
        <is>
          <t>원본과 같은 칩. 알리 저가 모듈을 찾으면 저렴한 버전은 그쪽으로</t>
        </is>
      </c>
    </row>
    <row r="13">
      <c r="A13" s="11" t="inlineStr">
        <is>
          <t>센서</t>
        </is>
      </c>
      <c r="B13" s="11" t="inlineStr">
        <is>
          <t>IMU 브리지 MCU</t>
        </is>
      </c>
      <c r="C13" s="12" t="inlineStr">
        <is>
          <t>ESP32-C3 SuperMini</t>
        </is>
      </c>
      <c r="D13" s="13" t="n">
        <v>1</v>
      </c>
      <c r="E13" s="13" t="n">
        <v>0</v>
      </c>
      <c r="F13" s="11">
        <f>D13+E13*'비교'!$C$5</f>
        <v/>
      </c>
      <c r="G13" s="14" t="n">
        <v>3000</v>
      </c>
      <c r="H13" s="11" t="inlineStr">
        <is>
          <t>KRW</t>
        </is>
      </c>
      <c r="I13" s="15">
        <f>IF(H13="USD",G13*'비교'!$C$4,G13)</f>
        <v/>
      </c>
      <c r="J13" s="15">
        <f>F13*I13</f>
        <v/>
      </c>
      <c r="K13" s="11" t="inlineStr">
        <is>
          <t>추정</t>
        </is>
      </c>
      <c r="L13" s="11" t="inlineStr">
        <is>
          <t>네이버쇼핑 최저가</t>
        </is>
      </c>
      <c r="M13" s="16" t="inlineStr">
        <is>
          <t>https://search.shopping.naver.com/search/all?query=ESP32-C3+SuperMini&amp;sort=price_asc</t>
        </is>
      </c>
      <c r="N13" s="11" t="inlineStr">
        <is>
          <t>검색</t>
        </is>
      </c>
      <c r="O13" s="12" t="inlineStr">
        <is>
          <t>알리: https://www.aliexpress.com/w/wholesale-ESP32-C3-SuperMini.html?SortType=price_asc</t>
        </is>
      </c>
      <c r="P13" s="12" t="inlineStr">
        <is>
          <t>버스 ID 200 슬레이브 펌웨어 (firmware/imu_to_dxl)</t>
        </is>
      </c>
    </row>
    <row r="14">
      <c r="A14" s="11" t="inlineStr">
        <is>
          <t>전원</t>
        </is>
      </c>
      <c r="B14" s="11" t="inlineStr">
        <is>
          <t>배터리+충전기</t>
        </is>
      </c>
      <c r="C14" s="12" t="inlineStr">
        <is>
          <t>NP-F550 호환 2S 7.2V 배터리 + USB 충전기 세트</t>
        </is>
      </c>
      <c r="D14" s="13" t="n">
        <v>1</v>
      </c>
      <c r="E14" s="13" t="n">
        <v>0</v>
      </c>
      <c r="F14" s="11">
        <f>D14+E14*'비교'!$C$5</f>
        <v/>
      </c>
      <c r="G14" s="14" t="n">
        <v>25000</v>
      </c>
      <c r="H14" s="11" t="inlineStr">
        <is>
          <t>KRW</t>
        </is>
      </c>
      <c r="I14" s="15">
        <f>IF(H14="USD",G14*'비교'!$C$4,G14)</f>
        <v/>
      </c>
      <c r="J14" s="15">
        <f>F14*I14</f>
        <v/>
      </c>
      <c r="K14" s="11" t="inlineStr">
        <is>
          <t>추정</t>
        </is>
      </c>
      <c r="L14" s="11" t="inlineStr">
        <is>
          <t>네이버쇼핑 최저가</t>
        </is>
      </c>
      <c r="M14" s="16" t="inlineStr">
        <is>
          <t>https://search.shopping.naver.com/search/all?query=NP-F550+%ED%98%B8%ED%99%98+%EB%B0%B0%ED%84%B0%EB%A6%AC+%EC%B6%A9%EC%A0%84%EA%B8%B0+%EC%84%B8%ED%8A%B8&amp;sort=price_asc</t>
        </is>
      </c>
      <c r="N14" s="11" t="inlineStr">
        <is>
          <t>검색</t>
        </is>
      </c>
      <c r="O14" s="12" t="inlineStr">
        <is>
          <t>NEEWER 4개+충전기 ₩163,000(확인): https://kr.neewer.com/products/neewer-4-packs-7-4v-2600mah-np-f550-replacement-batteries-66601510</t>
        </is>
      </c>
      <c r="P14" s="12" t="inlineStr">
        <is>
          <t>서보에 직결(6.6–8.2 V). 약 1시간 동작. 오리지널 예비 = 배터리 세트 1개 추가</t>
        </is>
      </c>
    </row>
    <row r="15">
      <c r="A15" s="11" t="inlineStr">
        <is>
          <t>전원</t>
        </is>
      </c>
      <c r="B15" s="11" t="inlineStr">
        <is>
          <t>배터리 플레이트</t>
        </is>
      </c>
      <c r="C15" s="12" t="inlineStr">
        <is>
          <t>NP-F 배터리 홀더 (리드선)</t>
        </is>
      </c>
      <c r="D15" s="13" t="n">
        <v>1</v>
      </c>
      <c r="E15" s="13" t="n">
        <v>0</v>
      </c>
      <c r="F15" s="11">
        <f>D15+E15*'비교'!$C$5</f>
        <v/>
      </c>
      <c r="G15" s="14" t="n">
        <v>4000</v>
      </c>
      <c r="H15" s="11" t="inlineStr">
        <is>
          <t>KRW</t>
        </is>
      </c>
      <c r="I15" s="15">
        <f>IF(H15="USD",G15*'비교'!$C$4,G15)</f>
        <v/>
      </c>
      <c r="J15" s="15">
        <f>F15*I15</f>
        <v/>
      </c>
      <c r="K15" s="11" t="inlineStr">
        <is>
          <t>추정</t>
        </is>
      </c>
      <c r="L15" s="11" t="inlineStr">
        <is>
          <t>알리익스프레스</t>
        </is>
      </c>
      <c r="M15" s="16" t="inlineStr">
        <is>
          <t>https://www.aliexpress.com/w/wholesale-NP-F-battery-plate-holder.html?SortType=price_asc</t>
        </is>
      </c>
      <c r="N15" s="11" t="inlineStr">
        <is>
          <t>검색</t>
        </is>
      </c>
      <c r="O15" s="12" t="inlineStr">
        <is>
          <t>네이버: https://search.shopping.naver.com/search/all?query=NP-F+%EB%B0%B0%ED%84%B0%EB%A6%AC+%ED%94%8C%EB%A0%88%EC%9D%B4%ED%8A%B8&amp;sort=price_asc</t>
        </is>
      </c>
      <c r="P15" s="12" t="inlineStr">
        <is>
          <t>출력물 power_support에 고정</t>
        </is>
      </c>
    </row>
    <row r="16">
      <c r="A16" s="11" t="inlineStr">
        <is>
          <t>전원</t>
        </is>
      </c>
      <c r="B16" s="11" t="inlineStr">
        <is>
          <t>5V 강압 모듈</t>
        </is>
      </c>
      <c r="C16" s="12" t="inlineStr">
        <is>
          <t>MP1584EN 3A</t>
        </is>
      </c>
      <c r="D16" s="13" t="n">
        <v>1</v>
      </c>
      <c r="E16" s="13" t="n">
        <v>0</v>
      </c>
      <c r="F16" s="11">
        <f>D16+E16*'비교'!$C$5</f>
        <v/>
      </c>
      <c r="G16" s="14" t="n">
        <v>1500</v>
      </c>
      <c r="H16" s="11" t="inlineStr">
        <is>
          <t>KRW</t>
        </is>
      </c>
      <c r="I16" s="15">
        <f>IF(H16="USD",G16*'비교'!$C$4,G16)</f>
        <v/>
      </c>
      <c r="J16" s="15">
        <f>F16*I16</f>
        <v/>
      </c>
      <c r="K16" s="11" t="inlineStr">
        <is>
          <t>추정</t>
        </is>
      </c>
      <c r="L16" s="11" t="inlineStr">
        <is>
          <t>네이버쇼핑 최저가</t>
        </is>
      </c>
      <c r="M16" s="16" t="inlineStr">
        <is>
          <t>https://search.shopping.naver.com/search/all?query=MP1584EN+%EA%B0%95%EC%95%95+%EB%AA%A8%EB%93%88&amp;sort=price_asc</t>
        </is>
      </c>
      <c r="N16" s="11" t="inlineStr">
        <is>
          <t>검색</t>
        </is>
      </c>
      <c r="O16" s="12" t="inlineStr"/>
      <c r="P16" s="12" t="inlineStr">
        <is>
          <t>SBC·센서용. 출력 5.1V로 조정 후 연결</t>
        </is>
      </c>
    </row>
    <row r="17">
      <c r="A17" s="11" t="inlineStr">
        <is>
          <t>전원</t>
        </is>
      </c>
      <c r="B17" s="11" t="inlineStr">
        <is>
          <t>전원 스위치</t>
        </is>
      </c>
      <c r="C17" s="12" t="inlineStr">
        <is>
          <t>슬라이드/로커 스위치 5 A 이상</t>
        </is>
      </c>
      <c r="D17" s="13" t="n">
        <v>1</v>
      </c>
      <c r="E17" s="13" t="n">
        <v>0</v>
      </c>
      <c r="F17" s="11">
        <f>D17+E17*'비교'!$C$5</f>
        <v/>
      </c>
      <c r="G17" s="14" t="n">
        <v>1000</v>
      </c>
      <c r="H17" s="11" t="inlineStr">
        <is>
          <t>KRW</t>
        </is>
      </c>
      <c r="I17" s="15">
        <f>IF(H17="USD",G17*'비교'!$C$4,G17)</f>
        <v/>
      </c>
      <c r="J17" s="15">
        <f>F17*I17</f>
        <v/>
      </c>
      <c r="K17" s="11" t="inlineStr">
        <is>
          <t>추정</t>
        </is>
      </c>
      <c r="L17" s="11" t="inlineStr">
        <is>
          <t>네이버쇼핑 최저가</t>
        </is>
      </c>
      <c r="M17" s="16" t="inlineStr">
        <is>
          <t>https://search.shopping.naver.com/search/all?query=%EB%AF%B8%EB%8B%88+%EB%A1%9C%EC%BB%A4%EC%8A%A4%EC%9C%84%EC%B9%98+5A&amp;sort=price_asc</t>
        </is>
      </c>
      <c r="N17" s="11" t="inlineStr">
        <is>
          <t>검색</t>
        </is>
      </c>
      <c r="O17" s="12" t="inlineStr"/>
      <c r="P17" s="12" t="inlineStr"/>
    </row>
    <row r="18">
      <c r="A18" s="11" t="inlineStr">
        <is>
          <t>전원</t>
        </is>
      </c>
      <c r="B18" s="11" t="inlineStr">
        <is>
          <t>퓨즈</t>
        </is>
      </c>
      <c r="C18" s="12" t="inlineStr">
        <is>
          <t>미니 블레이드 퓨즈 5A + 홀더</t>
        </is>
      </c>
      <c r="D18" s="13" t="n">
        <v>1</v>
      </c>
      <c r="E18" s="13" t="n">
        <v>0</v>
      </c>
      <c r="F18" s="11">
        <f>D18+E18*'비교'!$C$5</f>
        <v/>
      </c>
      <c r="G18" s="14" t="n">
        <v>1500</v>
      </c>
      <c r="H18" s="11" t="inlineStr">
        <is>
          <t>KRW</t>
        </is>
      </c>
      <c r="I18" s="15">
        <f>IF(H18="USD",G18*'비교'!$C$4,G18)</f>
        <v/>
      </c>
      <c r="J18" s="15">
        <f>F18*I18</f>
        <v/>
      </c>
      <c r="K18" s="11" t="inlineStr">
        <is>
          <t>추정</t>
        </is>
      </c>
      <c r="L18" s="11" t="inlineStr">
        <is>
          <t>네이버쇼핑 최저가</t>
        </is>
      </c>
      <c r="M18" s="16" t="inlineStr">
        <is>
          <t>https://search.shopping.naver.com/search/all?query=%EB%AF%B8%EB%8B%88+%EB%B8%94%EB%A0%88%EC%9D%B4%EB%93%9C+%ED%93%A8%EC%A6%88+%ED%99%80%EB%8D%94&amp;sort=price_asc</t>
        </is>
      </c>
      <c r="N18" s="11" t="inlineStr">
        <is>
          <t>검색</t>
        </is>
      </c>
      <c r="O18" s="12" t="inlineStr"/>
      <c r="P18" s="12" t="inlineStr">
        <is>
          <t>서보 버스 단락 보호</t>
        </is>
      </c>
    </row>
    <row r="19">
      <c r="A19" s="11" t="inlineStr">
        <is>
          <t>전원</t>
        </is>
      </c>
      <c r="B19" s="11" t="inlineStr">
        <is>
          <t>버스 허브 (자작)</t>
        </is>
      </c>
      <c r="C19" s="12" t="inlineStr">
        <is>
          <t>JST EH 3핀 기판 커넥터 ×5 + 만능기판 (전원 입력·목·다리 L/R·IMU 병렬)</t>
        </is>
      </c>
      <c r="D19" s="13" t="n">
        <v>1</v>
      </c>
      <c r="E19" s="13" t="n">
        <v>0</v>
      </c>
      <c r="F19" s="11">
        <f>D19+E19*'비교'!$C$5</f>
        <v/>
      </c>
      <c r="G19" s="14" t="n">
        <v>2000</v>
      </c>
      <c r="H19" s="11" t="inlineStr">
        <is>
          <t>KRW</t>
        </is>
      </c>
      <c r="I19" s="15">
        <f>IF(H19="USD",G19*'비교'!$C$4,G19)</f>
        <v/>
      </c>
      <c r="J19" s="15">
        <f>F19*I19</f>
        <v/>
      </c>
      <c r="K19" s="11" t="inlineStr">
        <is>
          <t>추정</t>
        </is>
      </c>
      <c r="L19" s="11" t="inlineStr">
        <is>
          <t>네이버쇼핑 최저가</t>
        </is>
      </c>
      <c r="M19" s="16" t="inlineStr">
        <is>
          <t>https://search.shopping.naver.com/search/all?query=JST+EH+2.5mm+3%ED%95%80+%EA%B8%B0%ED%8C%90+%EC%BB%A4%EB%84%A5%ED%84%B0&amp;sort=price_asc</t>
        </is>
      </c>
      <c r="N19" s="11" t="inlineStr">
        <is>
          <t>검색</t>
        </is>
      </c>
      <c r="O19" s="12" t="inlineStr"/>
      <c r="P19" s="12" t="inlineStr">
        <is>
          <t>몸통 전원부에 둔다 (docs/assembly/OPERATION.md 3절)</t>
        </is>
      </c>
    </row>
    <row r="20">
      <c r="A20" s="11" t="inlineStr">
        <is>
          <t>버스·PCB</t>
        </is>
      </c>
      <c r="B20" s="11" t="inlineStr">
        <is>
          <t>반이중 버퍼 IC</t>
        </is>
      </c>
      <c r="C20" s="12" t="inlineStr">
        <is>
          <t>SN74LVC2G241DCUR</t>
        </is>
      </c>
      <c r="D20" s="13" t="n">
        <v>1</v>
      </c>
      <c r="E20" s="13" t="n">
        <v>0</v>
      </c>
      <c r="F20" s="11">
        <f>D20+E20*'비교'!$C$5</f>
        <v/>
      </c>
      <c r="G20" s="23" t="n">
        <v>0.15</v>
      </c>
      <c r="H20" s="11" t="inlineStr">
        <is>
          <t>USD</t>
        </is>
      </c>
      <c r="I20" s="15">
        <f>IF(H20="USD",G20*'비교'!$C$4,G20)</f>
        <v/>
      </c>
      <c r="J20" s="15">
        <f>F20*I20</f>
        <v/>
      </c>
      <c r="K20" s="11" t="inlineStr">
        <is>
          <t>추정</t>
        </is>
      </c>
      <c r="L20" s="11" t="inlineStr">
        <is>
          <t>LCSC</t>
        </is>
      </c>
      <c r="M20" s="16" t="inlineStr">
        <is>
          <t>https://www.lcsc.com/search?q=SN74LVC2G241</t>
        </is>
      </c>
      <c r="N20" s="11" t="inlineStr">
        <is>
          <t>검색</t>
        </is>
      </c>
      <c r="O20" s="12" t="inlineStr"/>
      <c r="P20" s="12" t="inlineStr">
        <is>
          <t>ROBOTIS 레퍼런스 반이중 회로. 1단계는 변환기판에 납땜</t>
        </is>
      </c>
    </row>
    <row r="21">
      <c r="A21" s="11" t="inlineStr">
        <is>
          <t>버스·PCB</t>
        </is>
      </c>
      <c r="B21" s="11" t="inlineStr">
        <is>
          <t>자작 HAT PCB</t>
        </is>
      </c>
      <c r="C21" s="12" t="inlineStr">
        <is>
          <t>65×30 mm 2층 PCB 5장 (배송 포함)</t>
        </is>
      </c>
      <c r="D21" s="13" t="n">
        <v>1</v>
      </c>
      <c r="E21" s="13" t="n">
        <v>0</v>
      </c>
      <c r="F21" s="11">
        <f>D21+E21*'비교'!$C$5</f>
        <v/>
      </c>
      <c r="G21" s="23" t="n">
        <v>10</v>
      </c>
      <c r="H21" s="11" t="inlineStr">
        <is>
          <t>USD</t>
        </is>
      </c>
      <c r="I21" s="15">
        <f>IF(H21="USD",G21*'비교'!$C$4,G21)</f>
        <v/>
      </c>
      <c r="J21" s="15">
        <f>F21*I21</f>
        <v/>
      </c>
      <c r="K21" s="11" t="inlineStr">
        <is>
          <t>추정</t>
        </is>
      </c>
      <c r="L21" s="11" t="inlineStr">
        <is>
          <t>JLCPCB</t>
        </is>
      </c>
      <c r="M21" s="16" t="inlineStr">
        <is>
          <t>https://jlcpcb.com/</t>
        </is>
      </c>
      <c r="N21" s="11" t="inlineStr">
        <is>
          <t>사이트</t>
        </is>
      </c>
      <c r="O21" s="12" t="inlineStr"/>
      <c r="P21" s="12" t="inlineStr">
        <is>
          <t>LCSC 부품과 함께 주문하면 배송 합산. 저렴한 버전은 만능기판으로 대체 가능</t>
        </is>
      </c>
    </row>
    <row r="22">
      <c r="A22" s="11" t="inlineStr">
        <is>
          <t>버스·PCB</t>
        </is>
      </c>
      <c r="B22" s="11" t="inlineStr">
        <is>
          <t>다이나믹셀 커넥터</t>
        </is>
      </c>
      <c r="C22" s="12" t="inlineStr">
        <is>
          <t>JST EH 3핀 헤더 (B3B-EH-A)</t>
        </is>
      </c>
      <c r="D22" s="13" t="n">
        <v>6</v>
      </c>
      <c r="E22" s="13" t="n">
        <v>0</v>
      </c>
      <c r="F22" s="11">
        <f>D22+E22*'비교'!$C$5</f>
        <v/>
      </c>
      <c r="G22" s="14" t="n">
        <v>100</v>
      </c>
      <c r="H22" s="11" t="inlineStr">
        <is>
          <t>KRW</t>
        </is>
      </c>
      <c r="I22" s="15">
        <f>IF(H22="USD",G22*'비교'!$C$4,G22)</f>
        <v/>
      </c>
      <c r="J22" s="15">
        <f>F22*I22</f>
        <v/>
      </c>
      <c r="K22" s="11" t="inlineStr">
        <is>
          <t>추정</t>
        </is>
      </c>
      <c r="L22" s="11" t="inlineStr">
        <is>
          <t>알리익스프레스</t>
        </is>
      </c>
      <c r="M22" s="16" t="inlineStr">
        <is>
          <t>https://www.aliexpress.com/w/wholesale-JST-EH-2.5mm-3pin-header.html?SortType=price_asc</t>
        </is>
      </c>
      <c r="N22" s="11" t="inlineStr">
        <is>
          <t>검색</t>
        </is>
      </c>
      <c r="O22" s="12" t="inlineStr"/>
      <c r="P22" s="12" t="inlineStr">
        <is>
          <t>보통 수십 개 묶음</t>
        </is>
      </c>
    </row>
    <row r="23">
      <c r="A23" s="11" t="inlineStr">
        <is>
          <t>기구</t>
        </is>
      </c>
      <c r="B23" s="11" t="inlineStr">
        <is>
          <t>볼베어링 (대)</t>
        </is>
      </c>
      <c r="C23" s="12" t="inlineStr">
        <is>
          <t>16×22×4 mm (SMR2216ZZ)</t>
        </is>
      </c>
      <c r="D23" s="13" t="n">
        <v>11</v>
      </c>
      <c r="E23" s="13" t="n">
        <v>0</v>
      </c>
      <c r="F23" s="11">
        <f>D23+E23*'비교'!$C$5</f>
        <v/>
      </c>
      <c r="G23" s="14" t="n">
        <v>1200</v>
      </c>
      <c r="H23" s="11" t="inlineStr">
        <is>
          <t>KRW</t>
        </is>
      </c>
      <c r="I23" s="15">
        <f>IF(H23="USD",G23*'비교'!$C$4,G23)</f>
        <v/>
      </c>
      <c r="J23" s="15">
        <f>F23*I23</f>
        <v/>
      </c>
      <c r="K23" s="11" t="inlineStr">
        <is>
          <t>추정</t>
        </is>
      </c>
      <c r="L23" s="11" t="inlineStr">
        <is>
          <t>알리익스프레스</t>
        </is>
      </c>
      <c r="M23" s="16" t="inlineStr">
        <is>
          <t>https://www.aliexpress.com/w/wholesale-16x22x4-bearing.html?SortType=price_asc</t>
        </is>
      </c>
      <c r="N23" s="11" t="inlineStr">
        <is>
          <t>검색</t>
        </is>
      </c>
      <c r="O23" s="12" t="inlineStr">
        <is>
          <t>네이버: https://search.shopping.naver.com/search/all?query=16x22x4+%EB%B2%A0%EC%96%B4%EB%A7%81&amp;sort=price_asc</t>
        </is>
      </c>
      <c r="P23" s="12" t="inlineStr">
        <is>
          <t>MJCF 실측. 10개 묶음 2개</t>
        </is>
      </c>
    </row>
    <row r="24">
      <c r="A24" s="11" t="inlineStr">
        <is>
          <t>기구</t>
        </is>
      </c>
      <c r="B24" s="11" t="inlineStr">
        <is>
          <t>볼베어링 (소)</t>
        </is>
      </c>
      <c r="C24" s="12" t="inlineStr">
        <is>
          <t>10×15×3 mm</t>
        </is>
      </c>
      <c r="D24" s="13" t="n">
        <v>3</v>
      </c>
      <c r="E24" s="13" t="n">
        <v>0</v>
      </c>
      <c r="F24" s="11">
        <f>D24+E24*'비교'!$C$5</f>
        <v/>
      </c>
      <c r="G24" s="14" t="n">
        <v>1000</v>
      </c>
      <c r="H24" s="11" t="inlineStr">
        <is>
          <t>KRW</t>
        </is>
      </c>
      <c r="I24" s="15">
        <f>IF(H24="USD",G24*'비교'!$C$4,G24)</f>
        <v/>
      </c>
      <c r="J24" s="15">
        <f>F24*I24</f>
        <v/>
      </c>
      <c r="K24" s="11" t="inlineStr">
        <is>
          <t>추정</t>
        </is>
      </c>
      <c r="L24" s="11" t="inlineStr">
        <is>
          <t>알리익스프레스</t>
        </is>
      </c>
      <c r="M24" s="16" t="inlineStr">
        <is>
          <t>https://www.aliexpress.com/w/wholesale-10x15x3-bearing.html?SortType=price_asc</t>
        </is>
      </c>
      <c r="N24" s="11" t="inlineStr">
        <is>
          <t>검색</t>
        </is>
      </c>
      <c r="O24" s="12" t="inlineStr">
        <is>
          <t>네이버: https://search.shopping.naver.com/search/all?query=10x15x3+%EB%B2%A0%EC%96%B4%EB%A7%81&amp;sort=price_asc</t>
        </is>
      </c>
      <c r="P24" s="12" t="inlineStr">
        <is>
          <t>MJCF 실측</t>
        </is>
      </c>
    </row>
    <row r="25">
      <c r="A25" s="11" t="inlineStr">
        <is>
          <t>기구</t>
        </is>
      </c>
      <c r="B25" s="11" t="inlineStr">
        <is>
          <t>볼트 키트</t>
        </is>
      </c>
      <c r="C25" s="12" t="inlineStr">
        <is>
          <t>M2/M2.5/M3 볼트·너트 키트</t>
        </is>
      </c>
      <c r="D25" s="13" t="n">
        <v>1</v>
      </c>
      <c r="E25" s="13" t="n">
        <v>0</v>
      </c>
      <c r="F25" s="11">
        <f>D25+E25*'비교'!$C$5</f>
        <v/>
      </c>
      <c r="G25" s="14" t="n">
        <v>6000</v>
      </c>
      <c r="H25" s="11" t="inlineStr">
        <is>
          <t>KRW</t>
        </is>
      </c>
      <c r="I25" s="15">
        <f>IF(H25="USD",G25*'비교'!$C$4,G25)</f>
        <v/>
      </c>
      <c r="J25" s="15">
        <f>F25*I25</f>
        <v/>
      </c>
      <c r="K25" s="11" t="inlineStr">
        <is>
          <t>추정</t>
        </is>
      </c>
      <c r="L25" s="11" t="inlineStr">
        <is>
          <t>알리익스프레스</t>
        </is>
      </c>
      <c r="M25" s="16" t="inlineStr">
        <is>
          <t>https://www.aliexpress.com/w/wholesale-M2-M2.5-M3-screw-kit.html?SortType=price_asc</t>
        </is>
      </c>
      <c r="N25" s="11" t="inlineStr">
        <is>
          <t>검색</t>
        </is>
      </c>
      <c r="O25" s="12" t="inlineStr"/>
      <c r="P25" s="12" t="inlineStr">
        <is>
          <t>보유 시 0원. 서보 체결은 동봉 M2 탭볼트</t>
        </is>
      </c>
    </row>
    <row r="26">
      <c r="A26" s="11" t="inlineStr">
        <is>
          <t>기구</t>
        </is>
      </c>
      <c r="B26" s="11" t="inlineStr">
        <is>
          <t>판재 3종 (FR4 대체)</t>
        </is>
      </c>
      <c r="C26" s="12" t="inlineStr">
        <is>
          <t>PCB 업체 FR4 1.0 mm 외곽 가공 (보강판·몸통판·롤판), 목판은 출력</t>
        </is>
      </c>
      <c r="D26" s="13" t="n">
        <v>1</v>
      </c>
      <c r="E26" s="13" t="n">
        <v>0</v>
      </c>
      <c r="F26" s="11">
        <f>D26+E26*'비교'!$C$5</f>
        <v/>
      </c>
      <c r="G26" s="23" t="n">
        <v>8</v>
      </c>
      <c r="H26" s="11" t="inlineStr">
        <is>
          <t>USD</t>
        </is>
      </c>
      <c r="I26" s="15">
        <f>IF(H26="USD",G26*'비교'!$C$4,G26)</f>
        <v/>
      </c>
      <c r="J26" s="15">
        <f>F26*I26</f>
        <v/>
      </c>
      <c r="K26" s="11" t="inlineStr">
        <is>
          <t>추정</t>
        </is>
      </c>
      <c r="L26" s="11" t="inlineStr">
        <is>
          <t>JLCPCB</t>
        </is>
      </c>
      <c r="M26" s="16" t="inlineStr">
        <is>
          <t>https://jlcpcb.com/</t>
        </is>
      </c>
      <c r="N26" s="11" t="inlineStr">
        <is>
          <t>사이트</t>
        </is>
      </c>
      <c r="O26" s="12" t="inlineStr"/>
      <c r="P26" s="12" t="inlineStr">
        <is>
          <t>HAT PCB와 같이 주문하면 배송비 합산. 알루미늄보다 강성 낮지만 출력물보다 훨씬 단단</t>
        </is>
      </c>
    </row>
    <row r="27">
      <c r="A27" s="11" t="inlineStr">
        <is>
          <t>출력소재</t>
        </is>
      </c>
      <c r="B27" s="11" t="inlineStr">
        <is>
          <t>경질 필라멘트</t>
        </is>
      </c>
      <c r="C27" s="12" t="inlineStr">
        <is>
          <t>PETG 1 kg</t>
        </is>
      </c>
      <c r="D27" s="13" t="n">
        <v>1</v>
      </c>
      <c r="E27" s="13" t="n">
        <v>0</v>
      </c>
      <c r="F27" s="11">
        <f>D27+E27*'비교'!$C$5</f>
        <v/>
      </c>
      <c r="G27" s="14" t="n">
        <v>15000</v>
      </c>
      <c r="H27" s="11" t="inlineStr">
        <is>
          <t>KRW</t>
        </is>
      </c>
      <c r="I27" s="15">
        <f>IF(H27="USD",G27*'비교'!$C$4,G27)</f>
        <v/>
      </c>
      <c r="J27" s="15">
        <f>F27*I27</f>
        <v/>
      </c>
      <c r="K27" s="11" t="inlineStr">
        <is>
          <t>추정</t>
        </is>
      </c>
      <c r="L27" s="11" t="inlineStr">
        <is>
          <t>네이버쇼핑 최저가</t>
        </is>
      </c>
      <c r="M27" s="16" t="inlineStr">
        <is>
          <t>https://search.shopping.naver.com/search/all?query=PETG+%ED%95%84%EB%9D%BC%EB%A9%98%ED%8A%B8+1kg&amp;sort=price_asc</t>
        </is>
      </c>
      <c r="N27" s="11" t="inlineStr">
        <is>
          <t>검색</t>
        </is>
      </c>
      <c r="O27" s="12" t="inlineStr"/>
      <c r="P27" s="12" t="inlineStr">
        <is>
          <t>보유 재고 있으면 0원. 실부피 약 207 cm³</t>
        </is>
      </c>
    </row>
    <row r="28">
      <c r="A28" s="11" t="inlineStr">
        <is>
          <t>출력소재</t>
        </is>
      </c>
      <c r="B28" s="11" t="inlineStr">
        <is>
          <t>연질 필라멘트</t>
        </is>
      </c>
      <c r="C28" s="12" t="inlineStr">
        <is>
          <t>TPU 95A 0.5–1 kg</t>
        </is>
      </c>
      <c r="D28" s="13" t="n">
        <v>1</v>
      </c>
      <c r="E28" s="13" t="n">
        <v>0</v>
      </c>
      <c r="F28" s="11">
        <f>D28+E28*'비교'!$C$5</f>
        <v/>
      </c>
      <c r="G28" s="14" t="n">
        <v>18000</v>
      </c>
      <c r="H28" s="11" t="inlineStr">
        <is>
          <t>KRW</t>
        </is>
      </c>
      <c r="I28" s="15">
        <f>IF(H28="USD",G28*'비교'!$C$4,G28)</f>
        <v/>
      </c>
      <c r="J28" s="15">
        <f>F28*I28</f>
        <v/>
      </c>
      <c r="K28" s="11" t="inlineStr">
        <is>
          <t>추정</t>
        </is>
      </c>
      <c r="L28" s="11" t="inlineStr">
        <is>
          <t>네이버쇼핑 최저가</t>
        </is>
      </c>
      <c r="M28" s="16" t="inlineStr">
        <is>
          <t>https://search.shopping.naver.com/search/all?query=TPU+95A+%ED%95%84%EB%9D%BC%EB%A9%98%ED%8A%B8&amp;sort=price_asc</t>
        </is>
      </c>
      <c r="N28" s="11" t="inlineStr">
        <is>
          <t>검색</t>
        </is>
      </c>
      <c r="O28" s="12" t="inlineStr"/>
      <c r="P28" s="12" t="inlineStr">
        <is>
          <t>발바닥·부리 연질부 약 34 cm³</t>
        </is>
      </c>
    </row>
    <row r="30">
      <c r="I30" s="7" t="inlineStr">
        <is>
          <t>합계</t>
        </is>
      </c>
      <c r="J30" s="8">
        <f>SUM(J6:J28)</f>
        <v/>
      </c>
    </row>
    <row r="31">
      <c r="I31" s="7" t="inlineStr">
        <is>
          <t>서보 비중</t>
        </is>
      </c>
      <c r="J31" s="24">
        <f>IFERROR(J6/J30,0)</f>
        <v/>
      </c>
    </row>
  </sheetData>
  <autoFilter ref="A5:P28"/>
  <hyperlinks>
    <hyperlink xmlns:r="http://schemas.openxmlformats.org/officeDocument/2006/relationships" ref="M6" r:id="rId1"/>
    <hyperlink xmlns:r="http://schemas.openxmlformats.org/officeDocument/2006/relationships" ref="M7" r:id="rId2"/>
    <hyperlink xmlns:r="http://schemas.openxmlformats.org/officeDocument/2006/relationships" ref="M8" r:id="rId3"/>
    <hyperlink xmlns:r="http://schemas.openxmlformats.org/officeDocument/2006/relationships" ref="M9" r:id="rId4"/>
    <hyperlink xmlns:r="http://schemas.openxmlformats.org/officeDocument/2006/relationships" ref="M10" r:id="rId5"/>
    <hyperlink xmlns:r="http://schemas.openxmlformats.org/officeDocument/2006/relationships" ref="M11" r:id="rId6"/>
    <hyperlink xmlns:r="http://schemas.openxmlformats.org/officeDocument/2006/relationships" ref="M12" r:id="rId7"/>
    <hyperlink xmlns:r="http://schemas.openxmlformats.org/officeDocument/2006/relationships" ref="M13" r:id="rId8"/>
    <hyperlink xmlns:r="http://schemas.openxmlformats.org/officeDocument/2006/relationships" ref="M14" r:id="rId9"/>
    <hyperlink xmlns:r="http://schemas.openxmlformats.org/officeDocument/2006/relationships" ref="M15" r:id="rId10"/>
    <hyperlink xmlns:r="http://schemas.openxmlformats.org/officeDocument/2006/relationships" ref="M16" r:id="rId11"/>
    <hyperlink xmlns:r="http://schemas.openxmlformats.org/officeDocument/2006/relationships" ref="M17" r:id="rId12"/>
    <hyperlink xmlns:r="http://schemas.openxmlformats.org/officeDocument/2006/relationships" ref="M18" r:id="rId13"/>
    <hyperlink xmlns:r="http://schemas.openxmlformats.org/officeDocument/2006/relationships" ref="M19" r:id="rId14"/>
    <hyperlink xmlns:r="http://schemas.openxmlformats.org/officeDocument/2006/relationships" ref="M20" r:id="rId15"/>
    <hyperlink xmlns:r="http://schemas.openxmlformats.org/officeDocument/2006/relationships" ref="M21" r:id="rId16"/>
    <hyperlink xmlns:r="http://schemas.openxmlformats.org/officeDocument/2006/relationships" ref="M22" r:id="rId17"/>
    <hyperlink xmlns:r="http://schemas.openxmlformats.org/officeDocument/2006/relationships" ref="M23" r:id="rId18"/>
    <hyperlink xmlns:r="http://schemas.openxmlformats.org/officeDocument/2006/relationships" ref="M24" r:id="rId19"/>
    <hyperlink xmlns:r="http://schemas.openxmlformats.org/officeDocument/2006/relationships" ref="M25" r:id="rId20"/>
    <hyperlink xmlns:r="http://schemas.openxmlformats.org/officeDocument/2006/relationships" ref="M26" r:id="rId21"/>
    <hyperlink xmlns:r="http://schemas.openxmlformats.org/officeDocument/2006/relationships" ref="M27" r:id="rId22"/>
    <hyperlink xmlns:r="http://schemas.openxmlformats.org/officeDocument/2006/relationships" ref="M28" r:id="rId2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38" customWidth="1" min="3" max="3"/>
    <col width="6" customWidth="1" min="4" max="4"/>
    <col width="6" customWidth="1" min="5" max="5"/>
    <col width="7" customWidth="1" min="6" max="6"/>
    <col width="10" customWidth="1" min="7" max="7"/>
    <col width="6" customWidth="1" min="8" max="8"/>
    <col width="11" customWidth="1" min="9" max="9"/>
    <col width="12" customWidth="1" min="10" max="10"/>
    <col width="8" customWidth="1" min="11" max="11"/>
    <col width="22" customWidth="1" min="12" max="12"/>
    <col width="40" customWidth="1" min="13" max="13"/>
    <col width="8" customWidth="1" min="14" max="14"/>
    <col width="50" customWidth="1" min="15" max="15"/>
    <col width="60" customWidth="1" min="16" max="16"/>
  </cols>
  <sheetData>
    <row r="1">
      <c r="A1" s="1" t="inlineStr">
        <is>
          <t>Microduck 클론 BOM — 일반 서보 버전</t>
        </is>
      </c>
    </row>
    <row r="2">
      <c r="A2" s="2" t="inlineStr">
        <is>
          <t>MG996R ×11 + MG90S ×4, 1.5배 확대, Raspberry Pi + PCA9685 + ADS1115 위치 피드백 개조. plan-hobby-servo.md 참고.</t>
        </is>
      </c>
    </row>
    <row r="3">
      <c r="A3" s="2" t="inlineStr">
        <is>
          <t>환율·예비 포함 여부는 '비교' 시트의 노란 칸에서 바꾼다. 쿠폰 할인·배송비 미반영.</t>
        </is>
      </c>
    </row>
    <row r="5">
      <c r="A5" s="10" t="inlineStr">
        <is>
          <t>분류</t>
        </is>
      </c>
      <c r="B5" s="10" t="inlineStr">
        <is>
          <t>품목</t>
        </is>
      </c>
      <c r="C5" s="10" t="inlineStr">
        <is>
          <t>규격/모델</t>
        </is>
      </c>
      <c r="D5" s="10" t="inlineStr">
        <is>
          <t>수량</t>
        </is>
      </c>
      <c r="E5" s="10" t="inlineStr">
        <is>
          <t>예비</t>
        </is>
      </c>
      <c r="F5" s="10" t="inlineStr">
        <is>
          <t>총수량</t>
        </is>
      </c>
      <c r="G5" s="10" t="inlineStr">
        <is>
          <t>단가</t>
        </is>
      </c>
      <c r="H5" s="10" t="inlineStr">
        <is>
          <t>통화</t>
        </is>
      </c>
      <c r="I5" s="10" t="inlineStr">
        <is>
          <t>단가(원)</t>
        </is>
      </c>
      <c r="J5" s="10" t="inlineStr">
        <is>
          <t>합계(원)</t>
        </is>
      </c>
      <c r="K5" s="10" t="inlineStr">
        <is>
          <t>가격근거</t>
        </is>
      </c>
      <c r="L5" s="10" t="inlineStr">
        <is>
          <t>구매처</t>
        </is>
      </c>
      <c r="M5" s="10" t="inlineStr">
        <is>
          <t>구매 링크</t>
        </is>
      </c>
      <c r="N5" s="10" t="inlineStr">
        <is>
          <t>링크유형</t>
        </is>
      </c>
      <c r="O5" s="10" t="inlineStr">
        <is>
          <t>대안 구매처</t>
        </is>
      </c>
      <c r="P5" s="10" t="inlineStr">
        <is>
          <t>메모</t>
        </is>
      </c>
    </row>
    <row r="6">
      <c r="A6" s="11" t="inlineStr">
        <is>
          <t>구동</t>
        </is>
      </c>
      <c r="B6" s="11" t="inlineStr">
        <is>
          <t>다리·목 서보</t>
        </is>
      </c>
      <c r="C6" s="12" t="inlineStr">
        <is>
          <t>MG996R 메탈기어 (TowerPro 호환)</t>
        </is>
      </c>
      <c r="D6" s="13" t="n">
        <v>11</v>
      </c>
      <c r="E6" s="13" t="n">
        <v>2</v>
      </c>
      <c r="F6" s="11">
        <f>D6+E6*'비교'!$C$5</f>
        <v/>
      </c>
      <c r="G6" s="14" t="n">
        <v>5000</v>
      </c>
      <c r="H6" s="11" t="inlineStr">
        <is>
          <t>KRW</t>
        </is>
      </c>
      <c r="I6" s="15">
        <f>IF(H6="USD",G6*'비교'!$C$4,G6)</f>
        <v/>
      </c>
      <c r="J6" s="15">
        <f>F6*I6</f>
        <v/>
      </c>
      <c r="K6" s="11" t="inlineStr">
        <is>
          <t>추정</t>
        </is>
      </c>
      <c r="L6" s="11" t="inlineStr">
        <is>
          <t>디바이스마트</t>
        </is>
      </c>
      <c r="M6" s="16" t="inlineStr">
        <is>
          <t>https://www.devicemart.co.kr/goods/view?no=1313388</t>
        </is>
      </c>
      <c r="N6" s="11" t="inlineStr">
        <is>
          <t>상품</t>
        </is>
      </c>
      <c r="O6" s="12" t="inlineStr">
        <is>
          <t>네이버: https://search.shopping.naver.com/search/all?query=MG996R+%EC%84%9C%EB%B3%B4%EB%AA%A8%ED%84%B0&amp;sort=price_asc / 알리: https://www.aliexpress.com/w/wholesale-MG996R-servo.html?SortType=price_asc</t>
        </is>
      </c>
      <c r="P6" s="12" t="inlineStr">
        <is>
          <t>다리 10 + neck_pitch 1. 9.4 kgf·cm@4.8V, 11 kgf·cm@6V, 55 g. 호환품 편차 커서 예비 2개</t>
        </is>
      </c>
    </row>
    <row r="7">
      <c r="A7" s="11" t="inlineStr">
        <is>
          <t>구동</t>
        </is>
      </c>
      <c r="B7" s="11" t="inlineStr">
        <is>
          <t>머리·부리 서보</t>
        </is>
      </c>
      <c r="C7" s="12" t="inlineStr">
        <is>
          <t>MG90S 메탈기어</t>
        </is>
      </c>
      <c r="D7" s="13" t="n">
        <v>4</v>
      </c>
      <c r="E7" s="13" t="n">
        <v>1</v>
      </c>
      <c r="F7" s="11">
        <f>D7+E7*'비교'!$C$5</f>
        <v/>
      </c>
      <c r="G7" s="14" t="n">
        <v>3000</v>
      </c>
      <c r="H7" s="11" t="inlineStr">
        <is>
          <t>KRW</t>
        </is>
      </c>
      <c r="I7" s="15">
        <f>IF(H7="USD",G7*'비교'!$C$4,G7)</f>
        <v/>
      </c>
      <c r="J7" s="15">
        <f>F7*I7</f>
        <v/>
      </c>
      <c r="K7" s="11" t="inlineStr">
        <is>
          <t>추정</t>
        </is>
      </c>
      <c r="L7" s="11" t="inlineStr">
        <is>
          <t>네이버쇼핑 최저가</t>
        </is>
      </c>
      <c r="M7" s="16" t="inlineStr">
        <is>
          <t>https://search.shopping.naver.com/search/all?query=MG90S+%EC%84%9C%EB%B3%B4%EB%AA%A8%ED%84%B0&amp;sort=price_asc</t>
        </is>
      </c>
      <c r="N7" s="11" t="inlineStr">
        <is>
          <t>검색</t>
        </is>
      </c>
      <c r="O7" s="12" t="inlineStr">
        <is>
          <t>알리: https://www.aliexpress.com/w/wholesale-MG90S-servo.html?SortType=price_asc</t>
        </is>
      </c>
      <c r="P7" s="12" t="inlineStr">
        <is>
          <t>head_pitch·yaw·roll + 부리. 2.2 kgf·cm@6V, 13.4 g. SG90(플라스틱 기어)은 낙하에 약함</t>
        </is>
      </c>
    </row>
    <row r="8">
      <c r="A8" s="11" t="inlineStr">
        <is>
          <t>구동</t>
        </is>
      </c>
      <c r="B8" s="11" t="inlineStr">
        <is>
          <t>알루미늄 서보 혼</t>
        </is>
      </c>
      <c r="C8" s="12" t="inlineStr">
        <is>
          <t>25T 알루미늄 원형 혼 (MG996R용)</t>
        </is>
      </c>
      <c r="D8" s="13" t="n">
        <v>11</v>
      </c>
      <c r="E8" s="13" t="n">
        <v>0</v>
      </c>
      <c r="F8" s="11">
        <f>D8+E8*'비교'!$C$5</f>
        <v/>
      </c>
      <c r="G8" s="14" t="n">
        <v>1500</v>
      </c>
      <c r="H8" s="11" t="inlineStr">
        <is>
          <t>KRW</t>
        </is>
      </c>
      <c r="I8" s="15">
        <f>IF(H8="USD",G8*'비교'!$C$4,G8)</f>
        <v/>
      </c>
      <c r="J8" s="15">
        <f>F8*I8</f>
        <v/>
      </c>
      <c r="K8" s="11" t="inlineStr">
        <is>
          <t>추정</t>
        </is>
      </c>
      <c r="L8" s="11" t="inlineStr">
        <is>
          <t>알리익스프레스</t>
        </is>
      </c>
      <c r="M8" s="16" t="inlineStr">
        <is>
          <t>https://www.aliexpress.com/w/wholesale-25T-aluminum-servo-horn.html?SortType=price_asc</t>
        </is>
      </c>
      <c r="N8" s="11" t="inlineStr">
        <is>
          <t>검색</t>
        </is>
      </c>
      <c r="O8" s="12" t="inlineStr"/>
      <c r="P8" s="12" t="inlineStr">
        <is>
          <t>동봉 플라스틱 혼은 하중에 약함</t>
        </is>
      </c>
    </row>
    <row r="9">
      <c r="A9" s="11" t="inlineStr">
        <is>
          <t>구동</t>
        </is>
      </c>
      <c r="B9" s="11" t="inlineStr">
        <is>
          <t>서보 연장선</t>
        </is>
      </c>
      <c r="C9" s="12" t="inlineStr">
        <is>
          <t>서보 연장 케이블 15–30 cm</t>
        </is>
      </c>
      <c r="D9" s="13" t="n">
        <v>15</v>
      </c>
      <c r="E9" s="13" t="n">
        <v>0</v>
      </c>
      <c r="F9" s="11">
        <f>D9+E9*'비교'!$C$5</f>
        <v/>
      </c>
      <c r="G9" s="14" t="n">
        <v>300</v>
      </c>
      <c r="H9" s="11" t="inlineStr">
        <is>
          <t>KRW</t>
        </is>
      </c>
      <c r="I9" s="15">
        <f>IF(H9="USD",G9*'비교'!$C$4,G9)</f>
        <v/>
      </c>
      <c r="J9" s="15">
        <f>F9*I9</f>
        <v/>
      </c>
      <c r="K9" s="11" t="inlineStr">
        <is>
          <t>추정</t>
        </is>
      </c>
      <c r="L9" s="11" t="inlineStr">
        <is>
          <t>알리익스프레스</t>
        </is>
      </c>
      <c r="M9" s="16" t="inlineStr">
        <is>
          <t>https://www.aliexpress.com/w/wholesale-servo-extension-cable-30cm.html?SortType=price_asc</t>
        </is>
      </c>
      <c r="N9" s="11" t="inlineStr">
        <is>
          <t>검색</t>
        </is>
      </c>
      <c r="O9" s="12" t="inlineStr"/>
      <c r="P9" s="12" t="inlineStr">
        <is>
          <t>다리 끝 서보용</t>
        </is>
      </c>
    </row>
    <row r="10">
      <c r="A10" s="17" t="inlineStr">
        <is>
          <t>컴퓨팅</t>
        </is>
      </c>
      <c r="B10" s="17" t="inlineStr">
        <is>
          <t>메인 컴퓨터</t>
        </is>
      </c>
      <c r="C10" s="18" t="inlineStr">
        <is>
          <t>Raspberry Pi Zero 2 W (헤더 포함)</t>
        </is>
      </c>
      <c r="D10" s="19" t="n">
        <v>1</v>
      </c>
      <c r="E10" s="19" t="n">
        <v>0</v>
      </c>
      <c r="F10" s="17">
        <f>D10+E10*'비교'!$C$5</f>
        <v/>
      </c>
      <c r="G10" s="25" t="n">
        <v>30300</v>
      </c>
      <c r="H10" s="17" t="inlineStr">
        <is>
          <t>KRW</t>
        </is>
      </c>
      <c r="I10" s="21">
        <f>IF(H10="USD",G10*'비교'!$C$4,G10)</f>
        <v/>
      </c>
      <c r="J10" s="21">
        <f>F10*I10</f>
        <v/>
      </c>
      <c r="K10" s="17" t="inlineStr">
        <is>
          <t>확인</t>
        </is>
      </c>
      <c r="L10" s="17" t="inlineStr">
        <is>
          <t>에듀이노</t>
        </is>
      </c>
      <c r="M10" s="22" t="inlineStr">
        <is>
          <t>https://eduino.kr/product/라즈베리파이-제로-2-w-raspberry-pi-zero-2-w/2949/{$url}</t>
        </is>
      </c>
      <c r="N10" s="17" t="inlineStr">
        <is>
          <t>상품</t>
        </is>
      </c>
      <c r="O10" s="18" t="inlineStr">
        <is>
          <t>네이버: https://search.shopping.naver.com/search/all?query=%EB%9D%BC%EC%A6%88%EB%B2%A0%EB%A6%AC%ED%8C%8C%EC%9D%B4+%EC%A0%9C%EB%A1%9C+2W&amp;sort=price_asc</t>
        </is>
      </c>
      <c r="P10" s="18" t="inlineStr">
        <is>
          <t>⚠ 2026-10-29 에듀이노 품절. 대안 Pi 4 1–2GB (1.5배 몸통에 들어감)</t>
        </is>
      </c>
    </row>
    <row r="11">
      <c r="A11" s="11" t="inlineStr">
        <is>
          <t>컴퓨팅</t>
        </is>
      </c>
      <c r="B11" s="11" t="inlineStr">
        <is>
          <t>microSD</t>
        </is>
      </c>
      <c r="C11" s="12" t="inlineStr">
        <is>
          <t>32GB A1</t>
        </is>
      </c>
      <c r="D11" s="13" t="n">
        <v>1</v>
      </c>
      <c r="E11" s="13" t="n">
        <v>0</v>
      </c>
      <c r="F11" s="11">
        <f>D11+E11*'비교'!$C$5</f>
        <v/>
      </c>
      <c r="G11" s="14" t="n">
        <v>6000</v>
      </c>
      <c r="H11" s="11" t="inlineStr">
        <is>
          <t>KRW</t>
        </is>
      </c>
      <c r="I11" s="15">
        <f>IF(H11="USD",G11*'비교'!$C$4,G11)</f>
        <v/>
      </c>
      <c r="J11" s="15">
        <f>F11*I11</f>
        <v/>
      </c>
      <c r="K11" s="11" t="inlineStr">
        <is>
          <t>추정</t>
        </is>
      </c>
      <c r="L11" s="11" t="inlineStr">
        <is>
          <t>네이버쇼핑 최저가</t>
        </is>
      </c>
      <c r="M11" s="16" t="inlineStr">
        <is>
          <t>https://search.shopping.naver.com/search/all?query=microSD+32GB+A1&amp;sort=price_asc</t>
        </is>
      </c>
      <c r="N11" s="11" t="inlineStr">
        <is>
          <t>검색</t>
        </is>
      </c>
      <c r="O11" s="12" t="inlineStr"/>
      <c r="P11" s="12" t="inlineStr"/>
    </row>
    <row r="12">
      <c r="A12" s="11" t="inlineStr">
        <is>
          <t>센서</t>
        </is>
      </c>
      <c r="B12" s="11" t="inlineStr">
        <is>
          <t>IMU</t>
        </is>
      </c>
      <c r="C12" s="12" t="inlineStr">
        <is>
          <t>BNO085 모듈 (게임 회전 벡터)</t>
        </is>
      </c>
      <c r="D12" s="13" t="n">
        <v>1</v>
      </c>
      <c r="E12" s="13" t="n">
        <v>0</v>
      </c>
      <c r="F12" s="11">
        <f>D12+E12*'비교'!$C$5</f>
        <v/>
      </c>
      <c r="G12" s="14" t="n">
        <v>12000</v>
      </c>
      <c r="H12" s="11" t="inlineStr">
        <is>
          <t>KRW</t>
        </is>
      </c>
      <c r="I12" s="15">
        <f>IF(H12="USD",G12*'비교'!$C$4,G12)</f>
        <v/>
      </c>
      <c r="J12" s="15">
        <f>F12*I12</f>
        <v/>
      </c>
      <c r="K12" s="11" t="inlineStr">
        <is>
          <t>추정</t>
        </is>
      </c>
      <c r="L12" s="11" t="inlineStr">
        <is>
          <t>알리익스프레스</t>
        </is>
      </c>
      <c r="M12" s="16" t="inlineStr">
        <is>
          <t>https://www.aliexpress.com/w/wholesale-BNO085-module.html?SortType=price_asc</t>
        </is>
      </c>
      <c r="N12" s="11" t="inlineStr">
        <is>
          <t>검색</t>
        </is>
      </c>
      <c r="O12" s="12" t="inlineStr">
        <is>
          <t>BNO055(Open Duck 사용): https://www.aliexpress.com/w/wholesale-BNO055-module.html?SortType=price_asc</t>
        </is>
      </c>
      <c r="P12" s="12" t="inlineStr">
        <is>
          <t>쿼터니언+자이로를 칩이 계산</t>
        </is>
      </c>
    </row>
    <row r="13">
      <c r="A13" s="11" t="inlineStr">
        <is>
          <t>센서</t>
        </is>
      </c>
      <c r="B13" s="11" t="inlineStr">
        <is>
          <t>위치 피드백 ADC</t>
        </is>
      </c>
      <c r="C13" s="12" t="inlineStr">
        <is>
          <t>ADS1115 16비트 4채널 모듈</t>
        </is>
      </c>
      <c r="D13" s="13" t="n">
        <v>4</v>
      </c>
      <c r="E13" s="13" t="n">
        <v>1</v>
      </c>
      <c r="F13" s="11">
        <f>D13+E13*'비교'!$C$5</f>
        <v/>
      </c>
      <c r="G13" s="14" t="n">
        <v>3000</v>
      </c>
      <c r="H13" s="11" t="inlineStr">
        <is>
          <t>KRW</t>
        </is>
      </c>
      <c r="I13" s="15">
        <f>IF(H13="USD",G13*'비교'!$C$4,G13)</f>
        <v/>
      </c>
      <c r="J13" s="15">
        <f>F13*I13</f>
        <v/>
      </c>
      <c r="K13" s="11" t="inlineStr">
        <is>
          <t>추정</t>
        </is>
      </c>
      <c r="L13" s="11" t="inlineStr">
        <is>
          <t>네이버쇼핑 최저가</t>
        </is>
      </c>
      <c r="M13" s="16" t="inlineStr">
        <is>
          <t>https://search.shopping.naver.com/search/all?query=ADS1115+%EB%AA%A8%EB%93%88&amp;sort=price_asc</t>
        </is>
      </c>
      <c r="N13" s="11" t="inlineStr">
        <is>
          <t>검색</t>
        </is>
      </c>
      <c r="O13" s="12" t="inlineStr">
        <is>
          <t>알리: https://www.aliexpress.com/w/wholesale-ADS1115-module.html?SortType=price_asc</t>
        </is>
      </c>
      <c r="P13" s="12" t="inlineStr">
        <is>
          <t>4개 × 4ch = 16ch, 주소 0x48–0x4B</t>
        </is>
      </c>
    </row>
    <row r="14">
      <c r="A14" s="11" t="inlineStr">
        <is>
          <t>센서</t>
        </is>
      </c>
      <c r="B14" s="11" t="inlineStr">
        <is>
          <t>피드백 배선</t>
        </is>
      </c>
      <c r="C14" s="12" t="inlineStr">
        <is>
          <t>AWG30 랩핑 와이어 + 분압 저항 10kΩ 키트</t>
        </is>
      </c>
      <c r="D14" s="13" t="n">
        <v>1</v>
      </c>
      <c r="E14" s="13" t="n">
        <v>0</v>
      </c>
      <c r="F14" s="11">
        <f>D14+E14*'비교'!$C$5</f>
        <v/>
      </c>
      <c r="G14" s="14" t="n">
        <v>5000</v>
      </c>
      <c r="H14" s="11" t="inlineStr">
        <is>
          <t>KRW</t>
        </is>
      </c>
      <c r="I14" s="15">
        <f>IF(H14="USD",G14*'비교'!$C$4,G14)</f>
        <v/>
      </c>
      <c r="J14" s="15">
        <f>F14*I14</f>
        <v/>
      </c>
      <c r="K14" s="11" t="inlineStr">
        <is>
          <t>추정</t>
        </is>
      </c>
      <c r="L14" s="11" t="inlineStr">
        <is>
          <t>네이버쇼핑 최저가</t>
        </is>
      </c>
      <c r="M14" s="16" t="inlineStr">
        <is>
          <t>https://search.shopping.naver.com/search/all?query=AWG30+%EB%9E%A9%ED%95%91+%EC%99%80%EC%9D%B4%EC%96%B4&amp;sort=price_asc</t>
        </is>
      </c>
      <c r="N14" s="11" t="inlineStr">
        <is>
          <t>검색</t>
        </is>
      </c>
      <c r="O14" s="12" t="inlineStr"/>
      <c r="P14" s="12" t="inlineStr">
        <is>
          <t>서보 가변저항 와이퍼 배선 개조용</t>
        </is>
      </c>
    </row>
    <row r="15">
      <c r="A15" s="11" t="inlineStr">
        <is>
          <t>제어·배선</t>
        </is>
      </c>
      <c r="B15" s="11" t="inlineStr">
        <is>
          <t>PWM 드라이버</t>
        </is>
      </c>
      <c r="C15" s="12" t="inlineStr">
        <is>
          <t>PCA9685 16채널 서보 드라이버</t>
        </is>
      </c>
      <c r="D15" s="13" t="n">
        <v>1</v>
      </c>
      <c r="E15" s="13" t="n">
        <v>0</v>
      </c>
      <c r="F15" s="11">
        <f>D15+E15*'비교'!$C$5</f>
        <v/>
      </c>
      <c r="G15" s="14" t="n">
        <v>4000</v>
      </c>
      <c r="H15" s="11" t="inlineStr">
        <is>
          <t>KRW</t>
        </is>
      </c>
      <c r="I15" s="15">
        <f>IF(H15="USD",G15*'비교'!$C$4,G15)</f>
        <v/>
      </c>
      <c r="J15" s="15">
        <f>F15*I15</f>
        <v/>
      </c>
      <c r="K15" s="11" t="inlineStr">
        <is>
          <t>추정</t>
        </is>
      </c>
      <c r="L15" s="11" t="inlineStr">
        <is>
          <t>네이버쇼핑 최저가</t>
        </is>
      </c>
      <c r="M15" s="16" t="inlineStr">
        <is>
          <t>https://search.shopping.naver.com/search/all?query=PCA9685+%EC%84%9C%EB%B3%B4+%EB%93%9C%EB%9D%BC%EC%9D%B4%EB%B2%84&amp;sort=price_asc</t>
        </is>
      </c>
      <c r="N15" s="11" t="inlineStr">
        <is>
          <t>검색</t>
        </is>
      </c>
      <c r="O15" s="12" t="inlineStr">
        <is>
          <t>알리: https://www.aliexpress.com/w/wholesale-PCA9685-servo-driver.html?SortType=price_asc</t>
        </is>
      </c>
      <c r="P15" s="12" t="inlineStr">
        <is>
          <t>I²C, 하드웨어 PWM</t>
        </is>
      </c>
    </row>
    <row r="16">
      <c r="A16" s="11" t="inlineStr">
        <is>
          <t>제어·배선</t>
        </is>
      </c>
      <c r="B16" s="11" t="inlineStr">
        <is>
          <t>만능기판·헤더</t>
        </is>
      </c>
      <c r="C16" s="12" t="inlineStr">
        <is>
          <t>만능기판 + 핀헤더 + 전선</t>
        </is>
      </c>
      <c r="D16" s="13" t="n">
        <v>1</v>
      </c>
      <c r="E16" s="13" t="n">
        <v>0</v>
      </c>
      <c r="F16" s="11">
        <f>D16+E16*'비교'!$C$5</f>
        <v/>
      </c>
      <c r="G16" s="14" t="n">
        <v>5000</v>
      </c>
      <c r="H16" s="11" t="inlineStr">
        <is>
          <t>KRW</t>
        </is>
      </c>
      <c r="I16" s="15">
        <f>IF(H16="USD",G16*'비교'!$C$4,G16)</f>
        <v/>
      </c>
      <c r="J16" s="15">
        <f>F16*I16</f>
        <v/>
      </c>
      <c r="K16" s="11" t="inlineStr">
        <is>
          <t>추정</t>
        </is>
      </c>
      <c r="L16" s="11" t="inlineStr">
        <is>
          <t>네이버쇼핑 최저가</t>
        </is>
      </c>
      <c r="M16" s="16" t="inlineStr">
        <is>
          <t>https://search.shopping.naver.com/search/all?query=%EB%A7%8C%EB%8A%A5%EA%B8%B0%ED%8C%90+%EC%96%91%EB%A9%B4&amp;sort=price_asc</t>
        </is>
      </c>
      <c r="N16" s="11" t="inlineStr">
        <is>
          <t>검색</t>
        </is>
      </c>
      <c r="O16" s="12" t="inlineStr"/>
      <c r="P16" s="12" t="inlineStr">
        <is>
          <t>전원 분배·ADC 배선판</t>
        </is>
      </c>
    </row>
    <row r="17">
      <c r="A17" s="11" t="inlineStr">
        <is>
          <t>전원</t>
        </is>
      </c>
      <c r="B17" s="11" t="inlineStr">
        <is>
          <t>배터리</t>
        </is>
      </c>
      <c r="C17" s="12" t="inlineStr">
        <is>
          <t>2S LiPo 7.4V 2200mAh (XT60)</t>
        </is>
      </c>
      <c r="D17" s="13" t="n">
        <v>1</v>
      </c>
      <c r="E17" s="13" t="n">
        <v>0</v>
      </c>
      <c r="F17" s="11">
        <f>D17+E17*'비교'!$C$5</f>
        <v/>
      </c>
      <c r="G17" s="14" t="n">
        <v>20000</v>
      </c>
      <c r="H17" s="11" t="inlineStr">
        <is>
          <t>KRW</t>
        </is>
      </c>
      <c r="I17" s="15">
        <f>IF(H17="USD",G17*'비교'!$C$4,G17)</f>
        <v/>
      </c>
      <c r="J17" s="15">
        <f>F17*I17</f>
        <v/>
      </c>
      <c r="K17" s="11" t="inlineStr">
        <is>
          <t>추정</t>
        </is>
      </c>
      <c r="L17" s="11" t="inlineStr">
        <is>
          <t>네이버쇼핑 최저가</t>
        </is>
      </c>
      <c r="M17" s="16" t="inlineStr">
        <is>
          <t>https://search.shopping.naver.com/search/all?query=2S+%EB%A6%AC%ED%8F%AC+2200mAh&amp;sort=price_asc</t>
        </is>
      </c>
      <c r="N17" s="11" t="inlineStr">
        <is>
          <t>검색</t>
        </is>
      </c>
      <c r="O17" s="12" t="inlineStr"/>
      <c r="P17" s="12" t="inlineStr">
        <is>
          <t>대안: 2S LiFePO4(최대 7.2V)는 MG996R 직결 가능</t>
        </is>
      </c>
    </row>
    <row r="18">
      <c r="A18" s="11" t="inlineStr">
        <is>
          <t>전원</t>
        </is>
      </c>
      <c r="B18" s="11" t="inlineStr">
        <is>
          <t>충전기</t>
        </is>
      </c>
      <c r="C18" s="12" t="inlineStr">
        <is>
          <t>2S/3S 밸런스 충전기</t>
        </is>
      </c>
      <c r="D18" s="13" t="n">
        <v>1</v>
      </c>
      <c r="E18" s="13" t="n">
        <v>0</v>
      </c>
      <c r="F18" s="11">
        <f>D18+E18*'비교'!$C$5</f>
        <v/>
      </c>
      <c r="G18" s="14" t="n">
        <v>10000</v>
      </c>
      <c r="H18" s="11" t="inlineStr">
        <is>
          <t>KRW</t>
        </is>
      </c>
      <c r="I18" s="15">
        <f>IF(H18="USD",G18*'비교'!$C$4,G18)</f>
        <v/>
      </c>
      <c r="J18" s="15">
        <f>F18*I18</f>
        <v/>
      </c>
      <c r="K18" s="11" t="inlineStr">
        <is>
          <t>추정</t>
        </is>
      </c>
      <c r="L18" s="11" t="inlineStr">
        <is>
          <t>네이버쇼핑 최저가</t>
        </is>
      </c>
      <c r="M18" s="16" t="inlineStr">
        <is>
          <t>https://search.shopping.naver.com/search/all?query=%EB%A6%AC%ED%8F%AC+%EB%B0%B8%EB%9F%B0%EC%8A%A4+%EC%B6%A9%EC%A0%84%EA%B8%B0+2S+3S&amp;sort=price_asc</t>
        </is>
      </c>
      <c r="N18" s="11" t="inlineStr">
        <is>
          <t>검색</t>
        </is>
      </c>
      <c r="O18" s="12" t="inlineStr"/>
      <c r="P18" s="12" t="inlineStr">
        <is>
          <t>보유 시 0원</t>
        </is>
      </c>
    </row>
    <row r="19">
      <c r="A19" s="11" t="inlineStr">
        <is>
          <t>전원</t>
        </is>
      </c>
      <c r="B19" s="11" t="inlineStr">
        <is>
          <t>서보 전원</t>
        </is>
      </c>
      <c r="C19" s="12" t="inlineStr">
        <is>
          <t>6V 10A 이상 UBEC</t>
        </is>
      </c>
      <c r="D19" s="13" t="n">
        <v>1</v>
      </c>
      <c r="E19" s="13" t="n">
        <v>0</v>
      </c>
      <c r="F19" s="11">
        <f>D19+E19*'비교'!$C$5</f>
        <v/>
      </c>
      <c r="G19" s="14" t="n">
        <v>12000</v>
      </c>
      <c r="H19" s="11" t="inlineStr">
        <is>
          <t>KRW</t>
        </is>
      </c>
      <c r="I19" s="15">
        <f>IF(H19="USD",G19*'비교'!$C$4,G19)</f>
        <v/>
      </c>
      <c r="J19" s="15">
        <f>F19*I19</f>
        <v/>
      </c>
      <c r="K19" s="11" t="inlineStr">
        <is>
          <t>추정</t>
        </is>
      </c>
      <c r="L19" s="11" t="inlineStr">
        <is>
          <t>네이버쇼핑 최저가</t>
        </is>
      </c>
      <c r="M19" s="16" t="inlineStr">
        <is>
          <t>https://search.shopping.naver.com/search/all?query=UBEC+6V+10A&amp;sort=price_asc</t>
        </is>
      </c>
      <c r="N19" s="11" t="inlineStr">
        <is>
          <t>검색</t>
        </is>
      </c>
      <c r="O19" s="12" t="inlineStr"/>
      <c r="P19" s="12" t="inlineStr">
        <is>
          <t>MG996R 정지전류 2.5A@6V × 11 → 여유 필요</t>
        </is>
      </c>
    </row>
    <row r="20">
      <c r="A20" s="11" t="inlineStr">
        <is>
          <t>전원</t>
        </is>
      </c>
      <c r="B20" s="11" t="inlineStr">
        <is>
          <t>머리 서보·Pi 전원</t>
        </is>
      </c>
      <c r="C20" s="12" t="inlineStr">
        <is>
          <t>MP1584EN 3A 강압 모듈</t>
        </is>
      </c>
      <c r="D20" s="13" t="n">
        <v>2</v>
      </c>
      <c r="E20" s="13" t="n">
        <v>0</v>
      </c>
      <c r="F20" s="11">
        <f>D20+E20*'비교'!$C$5</f>
        <v/>
      </c>
      <c r="G20" s="14" t="n">
        <v>1500</v>
      </c>
      <c r="H20" s="11" t="inlineStr">
        <is>
          <t>KRW</t>
        </is>
      </c>
      <c r="I20" s="15">
        <f>IF(H20="USD",G20*'비교'!$C$4,G20)</f>
        <v/>
      </c>
      <c r="J20" s="15">
        <f>F20*I20</f>
        <v/>
      </c>
      <c r="K20" s="11" t="inlineStr">
        <is>
          <t>추정</t>
        </is>
      </c>
      <c r="L20" s="11" t="inlineStr">
        <is>
          <t>네이버쇼핑 최저가</t>
        </is>
      </c>
      <c r="M20" s="16" t="inlineStr">
        <is>
          <t>https://search.shopping.naver.com/search/all?query=MP1584EN+%EA%B0%95%EC%95%95+%EB%AA%A8%EB%93%88&amp;sort=price_asc</t>
        </is>
      </c>
      <c r="N20" s="11" t="inlineStr">
        <is>
          <t>검색</t>
        </is>
      </c>
      <c r="O20" s="12" t="inlineStr"/>
      <c r="P20" s="12" t="inlineStr">
        <is>
          <t>Pi 5.1V 1개, MG90S 5–6V 1개 (서보 레일과 분리)</t>
        </is>
      </c>
    </row>
    <row r="21">
      <c r="A21" s="11" t="inlineStr">
        <is>
          <t>전원</t>
        </is>
      </c>
      <c r="B21" s="11" t="inlineStr">
        <is>
          <t>전해 커패시터</t>
        </is>
      </c>
      <c r="C21" s="12" t="inlineStr">
        <is>
          <t>2200µF 16V</t>
        </is>
      </c>
      <c r="D21" s="13" t="n">
        <v>2</v>
      </c>
      <c r="E21" s="13" t="n">
        <v>0</v>
      </c>
      <c r="F21" s="11">
        <f>D21+E21*'비교'!$C$5</f>
        <v/>
      </c>
      <c r="G21" s="14" t="n">
        <v>500</v>
      </c>
      <c r="H21" s="11" t="inlineStr">
        <is>
          <t>KRW</t>
        </is>
      </c>
      <c r="I21" s="15">
        <f>IF(H21="USD",G21*'비교'!$C$4,G21)</f>
        <v/>
      </c>
      <c r="J21" s="15">
        <f>F21*I21</f>
        <v/>
      </c>
      <c r="K21" s="11" t="inlineStr">
        <is>
          <t>추정</t>
        </is>
      </c>
      <c r="L21" s="11" t="inlineStr">
        <is>
          <t>네이버쇼핑 최저가</t>
        </is>
      </c>
      <c r="M21" s="16" t="inlineStr">
        <is>
          <t>https://search.shopping.naver.com/search/all?query=2200uF+16V+%EC%BD%98%EB%8D%B4%EC%84%9C&amp;sort=price_asc</t>
        </is>
      </c>
      <c r="N21" s="11" t="inlineStr">
        <is>
          <t>검색</t>
        </is>
      </c>
      <c r="O21" s="12" t="inlineStr"/>
      <c r="P21" s="12" t="inlineStr">
        <is>
          <t>서보 레일 전압 강하 완화</t>
        </is>
      </c>
    </row>
    <row r="22">
      <c r="A22" s="11" t="inlineStr">
        <is>
          <t>전원</t>
        </is>
      </c>
      <c r="B22" s="11" t="inlineStr">
        <is>
          <t>스위치·퓨즈·커넥터</t>
        </is>
      </c>
      <c r="C22" s="12" t="inlineStr">
        <is>
          <t>로커스위치 10A, 블레이드 퓨즈 15A+홀더, XT60</t>
        </is>
      </c>
      <c r="D22" s="13" t="n">
        <v>1</v>
      </c>
      <c r="E22" s="13" t="n">
        <v>0</v>
      </c>
      <c r="F22" s="11">
        <f>D22+E22*'비교'!$C$5</f>
        <v/>
      </c>
      <c r="G22" s="14" t="n">
        <v>4000</v>
      </c>
      <c r="H22" s="11" t="inlineStr">
        <is>
          <t>KRW</t>
        </is>
      </c>
      <c r="I22" s="15">
        <f>IF(H22="USD",G22*'비교'!$C$4,G22)</f>
        <v/>
      </c>
      <c r="J22" s="15">
        <f>F22*I22</f>
        <v/>
      </c>
      <c r="K22" s="11" t="inlineStr">
        <is>
          <t>추정</t>
        </is>
      </c>
      <c r="L22" s="11" t="inlineStr">
        <is>
          <t>네이버쇼핑 최저가</t>
        </is>
      </c>
      <c r="M22" s="16" t="inlineStr">
        <is>
          <t>https://search.shopping.naver.com/search/all?query=%EB%B8%94%EB%A0%88%EC%9D%B4%EB%93%9C+%ED%93%A8%EC%A6%88+%ED%99%80%EB%8D%94+15A&amp;sort=price_asc</t>
        </is>
      </c>
      <c r="N22" s="11" t="inlineStr">
        <is>
          <t>검색</t>
        </is>
      </c>
      <c r="O22" s="12" t="inlineStr"/>
      <c r="P22" s="12" t="inlineStr"/>
    </row>
    <row r="23">
      <c r="A23" s="11" t="inlineStr">
        <is>
          <t>기구</t>
        </is>
      </c>
      <c r="B23" s="11" t="inlineStr">
        <is>
          <t>관절 지지 베어링</t>
        </is>
      </c>
      <c r="C23" s="12" t="inlineStr">
        <is>
          <t>623ZZ 3×10×4 mm</t>
        </is>
      </c>
      <c r="D23" s="13" t="n">
        <v>16</v>
      </c>
      <c r="E23" s="13" t="n">
        <v>4</v>
      </c>
      <c r="F23" s="11">
        <f>D23+E23*'비교'!$C$5</f>
        <v/>
      </c>
      <c r="G23" s="14" t="n">
        <v>300</v>
      </c>
      <c r="H23" s="11" t="inlineStr">
        <is>
          <t>KRW</t>
        </is>
      </c>
      <c r="I23" s="15">
        <f>IF(H23="USD",G23*'비교'!$C$4,G23)</f>
        <v/>
      </c>
      <c r="J23" s="15">
        <f>F23*I23</f>
        <v/>
      </c>
      <c r="K23" s="11" t="inlineStr">
        <is>
          <t>추정</t>
        </is>
      </c>
      <c r="L23" s="11" t="inlineStr">
        <is>
          <t>알리익스프레스</t>
        </is>
      </c>
      <c r="M23" s="16" t="inlineStr">
        <is>
          <t>https://www.aliexpress.com/w/wholesale-623ZZ-bearing.html?SortType=price_asc</t>
        </is>
      </c>
      <c r="N23" s="11" t="inlineStr">
        <is>
          <t>검색</t>
        </is>
      </c>
      <c r="O23" s="12" t="inlineStr">
        <is>
          <t>네이버: https://search.shopping.naver.com/search/all?query=623ZZ+%EB%B2%A0%EC%96%B4%EB%A7%81&amp;sort=price_asc</t>
        </is>
      </c>
      <c r="P23" s="12" t="inlineStr">
        <is>
          <t>서보 반대편 축 지지</t>
        </is>
      </c>
    </row>
    <row r="24">
      <c r="A24" s="11" t="inlineStr">
        <is>
          <t>기구</t>
        </is>
      </c>
      <c r="B24" s="11" t="inlineStr">
        <is>
          <t>볼트 키트</t>
        </is>
      </c>
      <c r="C24" s="12" t="inlineStr">
        <is>
          <t>M2/M3 볼트·너트·인서트 키트</t>
        </is>
      </c>
      <c r="D24" s="13" t="n">
        <v>1</v>
      </c>
      <c r="E24" s="13" t="n">
        <v>0</v>
      </c>
      <c r="F24" s="11">
        <f>D24+E24*'비교'!$C$5</f>
        <v/>
      </c>
      <c r="G24" s="14" t="n">
        <v>8000</v>
      </c>
      <c r="H24" s="11" t="inlineStr">
        <is>
          <t>KRW</t>
        </is>
      </c>
      <c r="I24" s="15">
        <f>IF(H24="USD",G24*'비교'!$C$4,G24)</f>
        <v/>
      </c>
      <c r="J24" s="15">
        <f>F24*I24</f>
        <v/>
      </c>
      <c r="K24" s="11" t="inlineStr">
        <is>
          <t>추정</t>
        </is>
      </c>
      <c r="L24" s="11" t="inlineStr">
        <is>
          <t>알리익스프레스</t>
        </is>
      </c>
      <c r="M24" s="16" t="inlineStr">
        <is>
          <t>https://www.aliexpress.com/w/wholesale-M3-screw-kit-heat-insert.html?SortType=price_asc</t>
        </is>
      </c>
      <c r="N24" s="11" t="inlineStr">
        <is>
          <t>검색</t>
        </is>
      </c>
      <c r="O24" s="12" t="inlineStr"/>
      <c r="P24" s="12" t="inlineStr">
        <is>
          <t>보유 시 0원</t>
        </is>
      </c>
    </row>
    <row r="25">
      <c r="A25" s="11" t="inlineStr">
        <is>
          <t>출력소재</t>
        </is>
      </c>
      <c r="B25" s="11" t="inlineStr">
        <is>
          <t>경질 필라멘트</t>
        </is>
      </c>
      <c r="C25" s="12" t="inlineStr">
        <is>
          <t>PETG 1 kg</t>
        </is>
      </c>
      <c r="D25" s="13" t="n">
        <v>1</v>
      </c>
      <c r="E25" s="13" t="n">
        <v>0</v>
      </c>
      <c r="F25" s="11">
        <f>D25+E25*'비교'!$C$5</f>
        <v/>
      </c>
      <c r="G25" s="14" t="n">
        <v>15000</v>
      </c>
      <c r="H25" s="11" t="inlineStr">
        <is>
          <t>KRW</t>
        </is>
      </c>
      <c r="I25" s="15">
        <f>IF(H25="USD",G25*'비교'!$C$4,G25)</f>
        <v/>
      </c>
      <c r="J25" s="15">
        <f>F25*I25</f>
        <v/>
      </c>
      <c r="K25" s="11" t="inlineStr">
        <is>
          <t>추정</t>
        </is>
      </c>
      <c r="L25" s="11" t="inlineStr">
        <is>
          <t>네이버쇼핑 최저가</t>
        </is>
      </c>
      <c r="M25" s="16" t="inlineStr">
        <is>
          <t>https://search.shopping.naver.com/search/all?query=PETG+%ED%95%84%EB%9D%BC%EB%A9%98%ED%8A%B8+1kg&amp;sort=price_asc</t>
        </is>
      </c>
      <c r="N25" s="11" t="inlineStr">
        <is>
          <t>검색</t>
        </is>
      </c>
      <c r="O25" s="12" t="inlineStr"/>
      <c r="P25" s="12" t="inlineStr">
        <is>
          <t>1.5배 확대로 부피 약 3배 → 1 kg 거의 다 사용</t>
        </is>
      </c>
    </row>
    <row r="26">
      <c r="A26" s="11" t="inlineStr">
        <is>
          <t>출력소재</t>
        </is>
      </c>
      <c r="B26" s="11" t="inlineStr">
        <is>
          <t>연질 필라멘트</t>
        </is>
      </c>
      <c r="C26" s="12" t="inlineStr">
        <is>
          <t>TPU 95A 0.5 kg</t>
        </is>
      </c>
      <c r="D26" s="13" t="n">
        <v>1</v>
      </c>
      <c r="E26" s="13" t="n">
        <v>0</v>
      </c>
      <c r="F26" s="11">
        <f>D26+E26*'비교'!$C$5</f>
        <v/>
      </c>
      <c r="G26" s="14" t="n">
        <v>18000</v>
      </c>
      <c r="H26" s="11" t="inlineStr">
        <is>
          <t>KRW</t>
        </is>
      </c>
      <c r="I26" s="15">
        <f>IF(H26="USD",G26*'비교'!$C$4,G26)</f>
        <v/>
      </c>
      <c r="J26" s="15">
        <f>F26*I26</f>
        <v/>
      </c>
      <c r="K26" s="11" t="inlineStr">
        <is>
          <t>추정</t>
        </is>
      </c>
      <c r="L26" s="11" t="inlineStr">
        <is>
          <t>네이버쇼핑 최저가</t>
        </is>
      </c>
      <c r="M26" s="16" t="inlineStr">
        <is>
          <t>https://search.shopping.naver.com/search/all?query=TPU+95A+%ED%95%84%EB%9D%BC%EB%A9%98%ED%8A%B8&amp;sort=price_asc</t>
        </is>
      </c>
      <c r="N26" s="11" t="inlineStr">
        <is>
          <t>검색</t>
        </is>
      </c>
      <c r="O26" s="12" t="inlineStr"/>
      <c r="P26" s="12" t="inlineStr">
        <is>
          <t>발바닥</t>
        </is>
      </c>
    </row>
    <row r="28">
      <c r="I28" s="7" t="inlineStr">
        <is>
          <t>합계</t>
        </is>
      </c>
      <c r="J28" s="8">
        <f>SUM(J6:J26)</f>
        <v/>
      </c>
    </row>
    <row r="29">
      <c r="I29" s="7" t="inlineStr">
        <is>
          <t>서보 비중</t>
        </is>
      </c>
      <c r="J29" s="24">
        <f>IFERROR(J6/J28,0)</f>
        <v/>
      </c>
    </row>
  </sheetData>
  <autoFilter ref="A5:P26"/>
  <hyperlinks>
    <hyperlink xmlns:r="http://schemas.openxmlformats.org/officeDocument/2006/relationships" ref="M6" r:id="rId1"/>
    <hyperlink xmlns:r="http://schemas.openxmlformats.org/officeDocument/2006/relationships" ref="M7" r:id="rId2"/>
    <hyperlink xmlns:r="http://schemas.openxmlformats.org/officeDocument/2006/relationships" ref="M8" r:id="rId3"/>
    <hyperlink xmlns:r="http://schemas.openxmlformats.org/officeDocument/2006/relationships" ref="M9" r:id="rId4"/>
    <hyperlink xmlns:r="http://schemas.openxmlformats.org/officeDocument/2006/relationships" ref="M10" r:id="rId5"/>
    <hyperlink xmlns:r="http://schemas.openxmlformats.org/officeDocument/2006/relationships" ref="M11" r:id="rId6"/>
    <hyperlink xmlns:r="http://schemas.openxmlformats.org/officeDocument/2006/relationships" ref="M12" r:id="rId7"/>
    <hyperlink xmlns:r="http://schemas.openxmlformats.org/officeDocument/2006/relationships" ref="M13" r:id="rId8"/>
    <hyperlink xmlns:r="http://schemas.openxmlformats.org/officeDocument/2006/relationships" ref="M14" r:id="rId9"/>
    <hyperlink xmlns:r="http://schemas.openxmlformats.org/officeDocument/2006/relationships" ref="M15" r:id="rId10"/>
    <hyperlink xmlns:r="http://schemas.openxmlformats.org/officeDocument/2006/relationships" ref="M16" r:id="rId11"/>
    <hyperlink xmlns:r="http://schemas.openxmlformats.org/officeDocument/2006/relationships" ref="M17" r:id="rId12"/>
    <hyperlink xmlns:r="http://schemas.openxmlformats.org/officeDocument/2006/relationships" ref="M18" r:id="rId13"/>
    <hyperlink xmlns:r="http://schemas.openxmlformats.org/officeDocument/2006/relationships" ref="M19" r:id="rId14"/>
    <hyperlink xmlns:r="http://schemas.openxmlformats.org/officeDocument/2006/relationships" ref="M20" r:id="rId15"/>
    <hyperlink xmlns:r="http://schemas.openxmlformats.org/officeDocument/2006/relationships" ref="M21" r:id="rId16"/>
    <hyperlink xmlns:r="http://schemas.openxmlformats.org/officeDocument/2006/relationships" ref="M22" r:id="rId17"/>
    <hyperlink xmlns:r="http://schemas.openxmlformats.org/officeDocument/2006/relationships" ref="M23" r:id="rId18"/>
    <hyperlink xmlns:r="http://schemas.openxmlformats.org/officeDocument/2006/relationships" ref="M24" r:id="rId19"/>
    <hyperlink xmlns:r="http://schemas.openxmlformats.org/officeDocument/2006/relationships" ref="M25" r:id="rId20"/>
    <hyperlink xmlns:r="http://schemas.openxmlformats.org/officeDocument/2006/relationships" ref="M26" r:id="rId2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0" customWidth="1" min="2" max="2"/>
    <col width="6" customWidth="1" min="3" max="3"/>
    <col width="8" customWidth="1" min="4" max="4"/>
    <col width="8" customWidth="1" min="5" max="5"/>
    <col width="8" customWidth="1" min="6" max="6"/>
    <col width="9" customWidth="1" min="7" max="7"/>
    <col width="28" customWidth="1" min="8" max="8"/>
    <col width="40" customWidth="1" min="9" max="9"/>
    <col width="44" customWidth="1" min="10" max="10"/>
  </cols>
  <sheetData>
    <row r="1">
      <c r="A1" s="5" t="inlineStr">
        <is>
          <t>part</t>
        </is>
      </c>
      <c r="B1" s="5" t="inlineStr">
        <is>
          <t>분류</t>
        </is>
      </c>
      <c r="C1" s="5" t="inlineStr">
        <is>
          <t>수량</t>
        </is>
      </c>
      <c r="D1" s="5" t="inlineStr">
        <is>
          <t>X_mm</t>
        </is>
      </c>
      <c r="E1" s="5" t="inlineStr">
        <is>
          <t>Y_mm</t>
        </is>
      </c>
      <c r="F1" s="5" t="inlineStr">
        <is>
          <t>Z_mm</t>
        </is>
      </c>
      <c r="G1" s="5" t="inlineStr">
        <is>
          <t>부피_cm3</t>
        </is>
      </c>
      <c r="H1" s="5" t="inlineStr">
        <is>
          <t>권장재질/품목</t>
        </is>
      </c>
      <c r="I1" s="5" t="inlineStr">
        <is>
          <t>메모</t>
        </is>
      </c>
      <c r="J1" s="5" t="inlineStr">
        <is>
          <t>파일</t>
        </is>
      </c>
    </row>
    <row r="2">
      <c r="A2" s="26" t="inlineStr">
        <is>
          <t>ankle_l_v1</t>
        </is>
      </c>
      <c r="B2" s="26" t="inlineStr">
        <is>
          <t>출력(경질)</t>
        </is>
      </c>
      <c r="C2" s="26" t="n">
        <v>1</v>
      </c>
      <c r="D2" s="26" t="n">
        <v>39.5</v>
      </c>
      <c r="E2" s="26" t="n">
        <v>46.5</v>
      </c>
      <c r="F2" s="26" t="n">
        <v>25.4</v>
      </c>
      <c r="G2" s="26" t="n">
        <v>6.69</v>
      </c>
      <c r="H2" s="26" t="inlineStr">
        <is>
          <t>PETG 또는 PLA+</t>
        </is>
      </c>
      <c r="I2" s="26" t="inlineStr">
        <is>
          <t>롤러 장착용 발목 변형 롤러 옵션</t>
        </is>
      </c>
      <c r="J2" s="26" t="inlineStr">
        <is>
          <t>assets/ankle_l_v1.stl</t>
        </is>
      </c>
    </row>
    <row r="3">
      <c r="A3" s="26" t="inlineStr">
        <is>
          <t>ankle_left</t>
        </is>
      </c>
      <c r="B3" s="26" t="inlineStr">
        <is>
          <t>출력(경질)</t>
        </is>
      </c>
      <c r="C3" s="26" t="n">
        <v>1</v>
      </c>
      <c r="D3" s="26" t="n">
        <v>39.5</v>
      </c>
      <c r="E3" s="26" t="n">
        <v>36.5</v>
      </c>
      <c r="F3" s="26" t="n">
        <v>25.5</v>
      </c>
      <c r="G3" s="26" t="n">
        <v>7.88</v>
      </c>
      <c r="H3" s="26" t="inlineStr">
        <is>
          <t>PETG 또는 PLA+</t>
        </is>
      </c>
      <c r="I3" s="26" t="inlineStr"/>
      <c r="J3" s="26" t="inlineStr">
        <is>
          <t>assets/ankle_left.stl</t>
        </is>
      </c>
    </row>
    <row r="4">
      <c r="A4" s="26" t="inlineStr">
        <is>
          <t>ankle_r_v1</t>
        </is>
      </c>
      <c r="B4" s="26" t="inlineStr">
        <is>
          <t>출력(경질)</t>
        </is>
      </c>
      <c r="C4" s="26" t="n">
        <v>1</v>
      </c>
      <c r="D4" s="26" t="n">
        <v>39.5</v>
      </c>
      <c r="E4" s="26" t="n">
        <v>46.5</v>
      </c>
      <c r="F4" s="26" t="n">
        <v>25.4</v>
      </c>
      <c r="G4" s="26" t="n">
        <v>6.69</v>
      </c>
      <c r="H4" s="26" t="inlineStr">
        <is>
          <t>PETG 또는 PLA+</t>
        </is>
      </c>
      <c r="I4" s="26" t="inlineStr">
        <is>
          <t>롤러 장착용 발목 변형 롤러 옵션</t>
        </is>
      </c>
      <c r="J4" s="26" t="inlineStr">
        <is>
          <t>assets/ankle_r_v1.stl</t>
        </is>
      </c>
    </row>
    <row r="5">
      <c r="A5" s="26" t="inlineStr">
        <is>
          <t>ankle_right</t>
        </is>
      </c>
      <c r="B5" s="26" t="inlineStr">
        <is>
          <t>출력(경질)</t>
        </is>
      </c>
      <c r="C5" s="26" t="n">
        <v>1</v>
      </c>
      <c r="D5" s="26" t="n">
        <v>39.5</v>
      </c>
      <c r="E5" s="26" t="n">
        <v>36.5</v>
      </c>
      <c r="F5" s="26" t="n">
        <v>25.5</v>
      </c>
      <c r="G5" s="26" t="n">
        <v>7.88</v>
      </c>
      <c r="H5" s="26" t="inlineStr">
        <is>
          <t>PETG 또는 PLA+</t>
        </is>
      </c>
      <c r="I5" s="26" t="inlineStr"/>
      <c r="J5" s="26" t="inlineStr">
        <is>
          <t>assets/ankle_right.stl</t>
        </is>
      </c>
    </row>
    <row r="6">
      <c r="A6" s="26" t="inlineStr">
        <is>
          <t>banana_pcb_locker</t>
        </is>
      </c>
      <c r="B6" s="26" t="inlineStr">
        <is>
          <t>출력(경질)</t>
        </is>
      </c>
      <c r="C6" s="26" t="n">
        <v>1</v>
      </c>
      <c r="D6" s="26" t="n">
        <v>54.1</v>
      </c>
      <c r="E6" s="26" t="n">
        <v>3.8</v>
      </c>
      <c r="F6" s="26" t="n">
        <v>6.7</v>
      </c>
      <c r="G6" s="26" t="n">
        <v>0.46</v>
      </c>
      <c r="H6" s="26" t="inlineStr">
        <is>
          <t>PETG 또는 PLA+</t>
        </is>
      </c>
      <c r="I6" s="26" t="inlineStr"/>
      <c r="J6" s="26" t="inlineStr">
        <is>
          <t>assets/banana_pcb_locker.stl</t>
        </is>
      </c>
    </row>
    <row r="7">
      <c r="A7" s="26" t="inlineStr">
        <is>
          <t>bearing_roll</t>
        </is>
      </c>
      <c r="B7" s="26" t="inlineStr">
        <is>
          <t>판재</t>
        </is>
      </c>
      <c r="C7" s="26" t="n">
        <v>2</v>
      </c>
      <c r="D7" s="26" t="n">
        <v>23</v>
      </c>
      <c r="E7" s="26" t="n">
        <v>3</v>
      </c>
      <c r="F7" s="26" t="n">
        <v>40</v>
      </c>
      <c r="G7" s="26" t="n">
        <v>0.63</v>
      </c>
      <c r="H7" s="26" t="inlineStr">
        <is>
          <t>알루미늄 1 mm</t>
        </is>
      </c>
      <c r="I7" s="26" t="inlineStr">
        <is>
          <t>고관절 롤 베어링판 (+보스 2개 생략) — DXF: cad/plates/dynamixel</t>
        </is>
      </c>
      <c r="J7" s="26" t="inlineStr">
        <is>
          <t>assets/bearing_roll.stl</t>
        </is>
      </c>
    </row>
    <row r="8">
      <c r="A8" s="26" t="inlineStr">
        <is>
          <t>bottom_head_shell</t>
        </is>
      </c>
      <c r="B8" s="26" t="inlineStr">
        <is>
          <t>출력(경질)</t>
        </is>
      </c>
      <c r="C8" s="26" t="n">
        <v>1</v>
      </c>
      <c r="D8" s="26" t="n">
        <v>91.8</v>
      </c>
      <c r="E8" s="26" t="n">
        <v>116.7</v>
      </c>
      <c r="F8" s="26" t="n">
        <v>20.1</v>
      </c>
      <c r="G8" s="26" t="n">
        <v>23.8</v>
      </c>
      <c r="H8" s="26" t="inlineStr">
        <is>
          <t>PETG 또는 PLA+</t>
        </is>
      </c>
      <c r="I8" s="26" t="inlineStr"/>
      <c r="J8" s="26" t="inlineStr">
        <is>
          <t>assets/bottom_head_shell.stl</t>
        </is>
      </c>
    </row>
    <row r="9">
      <c r="A9" s="26" t="inlineStr">
        <is>
          <t>elec_rpi_robot_hat_pcb</t>
        </is>
      </c>
      <c r="B9" s="26" t="inlineStr">
        <is>
          <t>자작 PCB</t>
        </is>
      </c>
      <c r="C9" s="26" t="n">
        <v>1</v>
      </c>
      <c r="D9" s="26" t="n">
        <v>65</v>
      </c>
      <c r="E9" s="26" t="n">
        <v>30</v>
      </c>
      <c r="F9" s="26" t="n">
        <v>0.8</v>
      </c>
      <c r="G9" s="26" t="n">
        <v>1.57</v>
      </c>
      <c r="H9" s="26" t="inlineStr">
        <is>
          <t>65×30 HAT</t>
        </is>
      </c>
      <c r="I9" s="26" t="inlineStr">
        <is>
          <t>반이중 버스·전원·오디오 등 (직접 설계)</t>
        </is>
      </c>
      <c r="J9" s="26" t="inlineStr">
        <is>
          <t>assets/elec_rpi_robot_hat_pcb.stl</t>
        </is>
      </c>
    </row>
    <row r="10">
      <c r="A10" s="26" t="inlineStr">
        <is>
          <t>face_part</t>
        </is>
      </c>
      <c r="B10" s="26" t="inlineStr">
        <is>
          <t>출력(경질)</t>
        </is>
      </c>
      <c r="C10" s="26" t="n">
        <v>1</v>
      </c>
      <c r="D10" s="26" t="n">
        <v>87.7</v>
      </c>
      <c r="E10" s="26" t="n">
        <v>12.5</v>
      </c>
      <c r="F10" s="26" t="n">
        <v>44.6</v>
      </c>
      <c r="G10" s="26" t="n">
        <v>5.82</v>
      </c>
      <c r="H10" s="26" t="inlineStr">
        <is>
          <t>PETG 또는 PLA+</t>
        </is>
      </c>
      <c r="I10" s="26" t="inlineStr"/>
      <c r="J10" s="26" t="inlineStr">
        <is>
          <t>assets/face_part.stl</t>
        </is>
      </c>
    </row>
    <row r="11">
      <c r="A11" s="26" t="inlineStr">
        <is>
          <t>foot_left</t>
        </is>
      </c>
      <c r="B11" s="26" t="inlineStr">
        <is>
          <t>출력(경질)</t>
        </is>
      </c>
      <c r="C11" s="26" t="n">
        <v>1</v>
      </c>
      <c r="D11" s="26" t="n">
        <v>40.1</v>
      </c>
      <c r="E11" s="26" t="n">
        <v>54</v>
      </c>
      <c r="F11" s="26" t="n">
        <v>16.9</v>
      </c>
      <c r="G11" s="26" t="n">
        <v>12.18</v>
      </c>
      <c r="H11" s="26" t="inlineStr">
        <is>
          <t>PETG 또는 PLA+</t>
        </is>
      </c>
      <c r="I11" s="26" t="inlineStr"/>
      <c r="J11" s="26" t="inlineStr">
        <is>
          <t>assets/foot_left.stl</t>
        </is>
      </c>
    </row>
    <row r="12">
      <c r="A12" s="26" t="inlineStr">
        <is>
          <t>foot_right</t>
        </is>
      </c>
      <c r="B12" s="26" t="inlineStr">
        <is>
          <t>출력(경질)</t>
        </is>
      </c>
      <c r="C12" s="26" t="n">
        <v>1</v>
      </c>
      <c r="D12" s="26" t="n">
        <v>40.1</v>
      </c>
      <c r="E12" s="26" t="n">
        <v>54</v>
      </c>
      <c r="F12" s="26" t="n">
        <v>16.9</v>
      </c>
      <c r="G12" s="26" t="n">
        <v>12.18</v>
      </c>
      <c r="H12" s="26" t="inlineStr">
        <is>
          <t>PETG 또는 PLA+</t>
        </is>
      </c>
      <c r="I12" s="26" t="inlineStr"/>
      <c r="J12" s="26" t="inlineStr">
        <is>
          <t>assets/foot_right.stl</t>
        </is>
      </c>
    </row>
    <row r="13">
      <c r="A13" s="26" t="inlineStr">
        <is>
          <t>hip_l</t>
        </is>
      </c>
      <c r="B13" s="26" t="inlineStr">
        <is>
          <t>출력(경질)</t>
        </is>
      </c>
      <c r="C13" s="26" t="n">
        <v>2</v>
      </c>
      <c r="D13" s="26" t="n">
        <v>32.5</v>
      </c>
      <c r="E13" s="26" t="n">
        <v>34.5</v>
      </c>
      <c r="F13" s="26" t="n">
        <v>19</v>
      </c>
      <c r="G13" s="26" t="n">
        <v>4.52</v>
      </c>
      <c r="H13" s="26" t="inlineStr">
        <is>
          <t>PETG 또는 PLA+</t>
        </is>
      </c>
      <c r="I13" s="26" t="inlineStr"/>
      <c r="J13" s="26" t="inlineStr">
        <is>
          <t>assets/hip_l.stl</t>
        </is>
      </c>
    </row>
    <row r="14">
      <c r="A14" s="26" t="inlineStr">
        <is>
          <t>jaw</t>
        </is>
      </c>
      <c r="B14" s="26" t="inlineStr">
        <is>
          <t>출력(경질)</t>
        </is>
      </c>
      <c r="C14" s="26" t="n">
        <v>1</v>
      </c>
      <c r="D14" s="26" t="n">
        <v>91.40000000000001</v>
      </c>
      <c r="E14" s="26" t="n">
        <v>68.7</v>
      </c>
      <c r="F14" s="26" t="n">
        <v>29.4</v>
      </c>
      <c r="G14" s="26" t="n">
        <v>9.359999999999999</v>
      </c>
      <c r="H14" s="26" t="inlineStr">
        <is>
          <t>PETG 또는 PLA+</t>
        </is>
      </c>
      <c r="I14" s="26" t="inlineStr"/>
      <c r="J14" s="26" t="inlineStr">
        <is>
          <t>assets/jaw.stl</t>
        </is>
      </c>
    </row>
    <row r="15">
      <c r="A15" s="26" t="inlineStr">
        <is>
          <t>jaw_soft</t>
        </is>
      </c>
      <c r="B15" s="26" t="inlineStr">
        <is>
          <t>출력(연질)</t>
        </is>
      </c>
      <c r="C15" s="26" t="n">
        <v>1</v>
      </c>
      <c r="D15" s="26" t="n">
        <v>87.7</v>
      </c>
      <c r="E15" s="26" t="n">
        <v>32.2</v>
      </c>
      <c r="F15" s="26" t="n">
        <v>8.4</v>
      </c>
      <c r="G15" s="26" t="n">
        <v>18.6</v>
      </c>
      <c r="H15" s="26" t="inlineStr">
        <is>
          <t>TPU 95A</t>
        </is>
      </c>
      <c r="I15" s="26" t="inlineStr">
        <is>
          <t>부리 아래 연질부</t>
        </is>
      </c>
      <c r="J15" s="26" t="inlineStr">
        <is>
          <t>assets/jaw_soft.stl</t>
        </is>
      </c>
    </row>
    <row r="16">
      <c r="A16" s="26" t="inlineStr">
        <is>
          <t>left_shell</t>
        </is>
      </c>
      <c r="B16" s="26" t="inlineStr">
        <is>
          <t>출력(경질)</t>
        </is>
      </c>
      <c r="C16" s="26" t="n">
        <v>1</v>
      </c>
      <c r="D16" s="26" t="n">
        <v>33.7</v>
      </c>
      <c r="E16" s="26" t="n">
        <v>80.90000000000001</v>
      </c>
      <c r="F16" s="26" t="n">
        <v>41.7</v>
      </c>
      <c r="G16" s="26" t="n">
        <v>11.39</v>
      </c>
      <c r="H16" s="26" t="inlineStr">
        <is>
          <t>PETG 또는 PLA+</t>
        </is>
      </c>
      <c r="I16" s="26" t="inlineStr"/>
      <c r="J16" s="26" t="inlineStr">
        <is>
          <t>assets/left_shell.stl</t>
        </is>
      </c>
    </row>
    <row r="17">
      <c r="A17" s="26" t="inlineStr">
        <is>
          <t>leg</t>
        </is>
      </c>
      <c r="B17" s="26" t="inlineStr">
        <is>
          <t>출력(경질)</t>
        </is>
      </c>
      <c r="C17" s="26" t="n">
        <v>2</v>
      </c>
      <c r="D17" s="26" t="n">
        <v>8</v>
      </c>
      <c r="E17" s="26" t="n">
        <v>20</v>
      </c>
      <c r="F17" s="26" t="n">
        <v>58</v>
      </c>
      <c r="G17" s="26" t="n">
        <v>3.41</v>
      </c>
      <c r="H17" s="26" t="inlineStr">
        <is>
          <t>PETG 또는 PLA+</t>
        </is>
      </c>
      <c r="I17" s="26" t="inlineStr"/>
      <c r="J17" s="26" t="inlineStr">
        <is>
          <t>assets/leg.stl</t>
        </is>
      </c>
    </row>
    <row r="18">
      <c r="A18" s="26" t="inlineStr">
        <is>
          <t>lens</t>
        </is>
      </c>
      <c r="B18" s="26" t="inlineStr">
        <is>
          <t>구매품</t>
        </is>
      </c>
      <c r="C18" s="26" t="n">
        <v>1</v>
      </c>
      <c r="D18" s="26" t="n">
        <v>16.9</v>
      </c>
      <c r="E18" s="26" t="n">
        <v>18.9</v>
      </c>
      <c r="F18" s="26" t="n">
        <v>16.9</v>
      </c>
      <c r="G18" s="26" t="n">
        <v>2.8</v>
      </c>
      <c r="H18" s="26" t="inlineStr">
        <is>
          <t>M12 광각 렌즈</t>
        </is>
      </c>
      <c r="I18" s="26" t="inlineStr">
        <is>
          <t>IMX219 카메라용</t>
        </is>
      </c>
      <c r="J18" s="26" t="inlineStr">
        <is>
          <t>assets/lens.stl</t>
        </is>
      </c>
    </row>
    <row r="19">
      <c r="A19" s="26" t="inlineStr">
        <is>
          <t>m12_lens_holder</t>
        </is>
      </c>
      <c r="B19" s="26" t="inlineStr">
        <is>
          <t>출력(경질)</t>
        </is>
      </c>
      <c r="C19" s="26" t="n">
        <v>1</v>
      </c>
      <c r="D19" s="26" t="n">
        <v>24</v>
      </c>
      <c r="E19" s="26" t="n">
        <v>14.8</v>
      </c>
      <c r="F19" s="26" t="n">
        <v>16</v>
      </c>
      <c r="G19" s="26" t="n">
        <v>1.1</v>
      </c>
      <c r="H19" s="26" t="inlineStr">
        <is>
          <t>PETG 또는 PLA+</t>
        </is>
      </c>
      <c r="I19" s="26" t="inlineStr"/>
      <c r="J19" s="26" t="inlineStr">
        <is>
          <t>assets/m12_lens_holder.stl</t>
        </is>
      </c>
    </row>
    <row r="20">
      <c r="A20" s="26" t="inlineStr">
        <is>
          <t>motor_support</t>
        </is>
      </c>
      <c r="B20" s="26" t="inlineStr">
        <is>
          <t>출력(경질)</t>
        </is>
      </c>
      <c r="C20" s="26" t="n">
        <v>1</v>
      </c>
      <c r="D20" s="26" t="n">
        <v>73.5</v>
      </c>
      <c r="E20" s="26" t="n">
        <v>54.2</v>
      </c>
      <c r="F20" s="26" t="n">
        <v>18.8</v>
      </c>
      <c r="G20" s="26" t="n">
        <v>7.52</v>
      </c>
      <c r="H20" s="26" t="inlineStr">
        <is>
          <t>PETG 또는 PLA+</t>
        </is>
      </c>
      <c r="I20" s="26" t="inlineStr"/>
      <c r="J20" s="26" t="inlineStr">
        <is>
          <t>assets/motor_support.stl</t>
        </is>
      </c>
    </row>
    <row r="21">
      <c r="A21" s="26" t="inlineStr">
        <is>
          <t>neck</t>
        </is>
      </c>
      <c r="B21" s="26" t="inlineStr">
        <is>
          <t>판재</t>
        </is>
      </c>
      <c r="C21" s="26" t="n">
        <v>2</v>
      </c>
      <c r="D21" s="26" t="n">
        <v>2</v>
      </c>
      <c r="E21" s="26" t="n">
        <v>20</v>
      </c>
      <c r="F21" s="26" t="n">
        <v>11</v>
      </c>
      <c r="G21" s="26" t="n">
        <v>0.4</v>
      </c>
      <c r="H21" s="26" t="inlineStr">
        <is>
          <t>알루미늄 2 mm</t>
        </is>
      </c>
      <c r="I21" s="26" t="inlineStr">
        <is>
          <t>목 연결판 — DXF: cad/plates/dynamixel</t>
        </is>
      </c>
      <c r="J21" s="26" t="inlineStr">
        <is>
          <t>assets/neck.stl</t>
        </is>
      </c>
    </row>
    <row r="22">
      <c r="A22" s="26" t="inlineStr">
        <is>
          <t>neck_pitch</t>
        </is>
      </c>
      <c r="B22" s="26" t="inlineStr">
        <is>
          <t>출력(경질)</t>
        </is>
      </c>
      <c r="C22" s="26" t="n">
        <v>1</v>
      </c>
      <c r="D22" s="26" t="n">
        <v>35</v>
      </c>
      <c r="E22" s="26" t="n">
        <v>18</v>
      </c>
      <c r="F22" s="26" t="n">
        <v>27.7</v>
      </c>
      <c r="G22" s="26" t="n">
        <v>4.11</v>
      </c>
      <c r="H22" s="26" t="inlineStr">
        <is>
          <t>PETG 또는 PLA+</t>
        </is>
      </c>
      <c r="I22" s="26" t="inlineStr"/>
      <c r="J22" s="26" t="inlineStr">
        <is>
          <t>assets/neck_pitch.stl</t>
        </is>
      </c>
    </row>
    <row r="23">
      <c r="A23" s="26" t="inlineStr">
        <is>
          <t>noenoeil</t>
        </is>
      </c>
      <c r="B23" s="26" t="inlineStr">
        <is>
          <t>출력(경질)</t>
        </is>
      </c>
      <c r="C23" s="26" t="n">
        <v>1</v>
      </c>
      <c r="D23" s="26" t="n">
        <v>30</v>
      </c>
      <c r="E23" s="26" t="n">
        <v>9.5</v>
      </c>
      <c r="F23" s="26" t="n">
        <v>30</v>
      </c>
      <c r="G23" s="26" t="n">
        <v>4.25</v>
      </c>
      <c r="H23" s="26" t="inlineStr">
        <is>
          <t>PETG 또는 PLA+</t>
        </is>
      </c>
      <c r="I23" s="26" t="inlineStr"/>
      <c r="J23" s="26" t="inlineStr">
        <is>
          <t>assets/noenoeil.stl</t>
        </is>
      </c>
    </row>
    <row r="24">
      <c r="A24" s="26" t="inlineStr">
        <is>
          <t>np_f970</t>
        </is>
      </c>
      <c r="B24" s="26" t="inlineStr">
        <is>
          <t>구매품</t>
        </is>
      </c>
      <c r="C24" s="26" t="n">
        <v>1</v>
      </c>
      <c r="D24" s="26" t="n">
        <v>38.6</v>
      </c>
      <c r="E24" s="26" t="n">
        <v>20.6</v>
      </c>
      <c r="F24" s="26" t="n">
        <v>70.8</v>
      </c>
      <c r="G24" s="26" t="n">
        <v>51.56</v>
      </c>
      <c r="H24" s="26" t="inlineStr">
        <is>
          <t>Sony NP-F 계열 배터리 외형</t>
        </is>
      </c>
      <c r="I24" s="26" t="inlineStr">
        <is>
          <t>모델은 NP-F970 크기, 실물은 NP-F550</t>
        </is>
      </c>
      <c r="J24" s="26" t="inlineStr">
        <is>
          <t>assets/np_f970.stl</t>
        </is>
      </c>
    </row>
    <row r="25">
      <c r="A25" s="26" t="inlineStr">
        <is>
          <t>pcb__raspberry_pi_zero_2_w</t>
        </is>
      </c>
      <c r="B25" s="26" t="inlineStr">
        <is>
          <t>구매품</t>
        </is>
      </c>
      <c r="C25" s="26" t="n">
        <v>1</v>
      </c>
      <c r="D25" s="26" t="n">
        <v>65</v>
      </c>
      <c r="E25" s="26" t="n">
        <v>1.6</v>
      </c>
      <c r="F25" s="26" t="n">
        <v>30</v>
      </c>
      <c r="G25" s="26" t="n">
        <v>3.02</v>
      </c>
      <c r="H25" s="26" t="inlineStr">
        <is>
          <t>Radxa Zero 3W (동일 65×30 폼팩터)</t>
        </is>
      </c>
      <c r="I25" s="26" t="inlineStr">
        <is>
          <t>모델은 Pi Zero 2W 자리표시자</t>
        </is>
      </c>
      <c r="J25" s="26" t="inlineStr">
        <is>
          <t>assets/pcb__raspberry_pi_zero_2_w.stl</t>
        </is>
      </c>
    </row>
    <row r="26">
      <c r="A26" s="26" t="inlineStr">
        <is>
          <t>power_support</t>
        </is>
      </c>
      <c r="B26" s="26" t="inlineStr">
        <is>
          <t>출력(경질)</t>
        </is>
      </c>
      <c r="C26" s="26" t="n">
        <v>1</v>
      </c>
      <c r="D26" s="26" t="n">
        <v>54.5</v>
      </c>
      <c r="E26" s="26" t="n">
        <v>17</v>
      </c>
      <c r="F26" s="26" t="n">
        <v>83.5</v>
      </c>
      <c r="G26" s="26" t="n">
        <v>10.49</v>
      </c>
      <c r="H26" s="26" t="inlineStr">
        <is>
          <t>PETG 또는 PLA+</t>
        </is>
      </c>
      <c r="I26" s="26" t="inlineStr"/>
      <c r="J26" s="26" t="inlineStr">
        <is>
          <t>assets/power_support.stl</t>
        </is>
      </c>
    </row>
    <row r="27">
      <c r="A27" s="26" t="inlineStr">
        <is>
          <t>right_shell</t>
        </is>
      </c>
      <c r="B27" s="26" t="inlineStr">
        <is>
          <t>출력(경질)</t>
        </is>
      </c>
      <c r="C27" s="26" t="n">
        <v>1</v>
      </c>
      <c r="D27" s="26" t="n">
        <v>31.8</v>
      </c>
      <c r="E27" s="26" t="n">
        <v>80.90000000000001</v>
      </c>
      <c r="F27" s="26" t="n">
        <v>41.7</v>
      </c>
      <c r="G27" s="26" t="n">
        <v>11.22</v>
      </c>
      <c r="H27" s="26" t="inlineStr">
        <is>
          <t>PETG 또는 PLA+</t>
        </is>
      </c>
      <c r="I27" s="26" t="inlineStr"/>
      <c r="J27" s="26" t="inlineStr">
        <is>
          <t>assets/right_shell.stl</t>
        </is>
      </c>
    </row>
    <row r="28">
      <c r="A28" s="26" t="inlineStr">
        <is>
          <t>rim</t>
        </is>
      </c>
      <c r="B28" s="26" t="inlineStr">
        <is>
          <t>출력(경질)</t>
        </is>
      </c>
      <c r="C28" s="26" t="n">
        <v>4</v>
      </c>
      <c r="D28" s="26" t="n">
        <v>7.6</v>
      </c>
      <c r="E28" s="26" t="n">
        <v>20.2</v>
      </c>
      <c r="F28" s="26" t="n">
        <v>20.2</v>
      </c>
      <c r="G28" s="26" t="n">
        <v>1.03</v>
      </c>
      <c r="H28" s="26" t="inlineStr">
        <is>
          <t>PETG 또는 PLA+</t>
        </is>
      </c>
      <c r="I28" s="26" t="inlineStr">
        <is>
          <t>롤러 옵션</t>
        </is>
      </c>
      <c r="J28" s="26" t="inlineStr">
        <is>
          <t>assets/rim.stl</t>
        </is>
      </c>
    </row>
    <row r="29">
      <c r="A29" s="26" t="inlineStr">
        <is>
          <t>roller_blade</t>
        </is>
      </c>
      <c r="B29" s="26" t="inlineStr">
        <is>
          <t>출력(경질)</t>
        </is>
      </c>
      <c r="C29" s="26" t="n">
        <v>2</v>
      </c>
      <c r="D29" s="26" t="n">
        <v>40.5</v>
      </c>
      <c r="E29" s="26" t="n">
        <v>73</v>
      </c>
      <c r="F29" s="26" t="n">
        <v>30.4</v>
      </c>
      <c r="G29" s="26" t="n">
        <v>11.81</v>
      </c>
      <c r="H29" s="26" t="inlineStr">
        <is>
          <t>PETG 또는 PLA+</t>
        </is>
      </c>
      <c r="I29" s="26" t="inlineStr">
        <is>
          <t>롤러 옵션</t>
        </is>
      </c>
      <c r="J29" s="26" t="inlineStr">
        <is>
          <t>assets/roller_blade.stl</t>
        </is>
      </c>
    </row>
    <row r="30">
      <c r="A30" s="26" t="inlineStr">
        <is>
          <t>seeed_bearing__configuration__22x16x4</t>
        </is>
      </c>
      <c r="B30" s="26" t="inlineStr">
        <is>
          <t>구매품</t>
        </is>
      </c>
      <c r="C30" s="26" t="n">
        <v>11</v>
      </c>
      <c r="D30" s="26" t="n">
        <v>22</v>
      </c>
      <c r="E30" s="26" t="n">
        <v>22</v>
      </c>
      <c r="F30" s="26" t="n">
        <v>4</v>
      </c>
      <c r="G30" s="26" t="n">
        <v>0.49</v>
      </c>
      <c r="H30" s="26" t="inlineStr">
        <is>
          <t>볼베어링 16×22×4</t>
        </is>
      </c>
      <c r="I30" s="26" t="inlineStr">
        <is>
          <t>관절 지지 베어링</t>
        </is>
      </c>
      <c r="J30" s="26" t="inlineStr">
        <is>
          <t>assets/seeed_bearing__configuration__22x16x4.stl</t>
        </is>
      </c>
    </row>
    <row r="31">
      <c r="A31" s="26" t="inlineStr">
        <is>
          <t>seeed_bearing__configuration_default</t>
        </is>
      </c>
      <c r="B31" s="26" t="inlineStr">
        <is>
          <t>구매품</t>
        </is>
      </c>
      <c r="C31" s="26" t="n">
        <v>3</v>
      </c>
      <c r="D31" s="26" t="n">
        <v>15</v>
      </c>
      <c r="E31" s="26" t="n">
        <v>15</v>
      </c>
      <c r="F31" s="26" t="n">
        <v>3</v>
      </c>
      <c r="G31" s="26" t="n">
        <v>0.19</v>
      </c>
      <c r="H31" s="26" t="inlineStr">
        <is>
          <t>볼베어링 10×15×3</t>
        </is>
      </c>
      <c r="I31" s="26" t="inlineStr">
        <is>
          <t>소형 베어링</t>
        </is>
      </c>
      <c r="J31" s="26" t="inlineStr">
        <is>
          <t>assets/seeed_bearing__configuration_default.stl</t>
        </is>
      </c>
    </row>
    <row r="32">
      <c r="A32" s="26" t="inlineStr">
        <is>
          <t>soft_mouth_top</t>
        </is>
      </c>
      <c r="B32" s="26" t="inlineStr">
        <is>
          <t>출력(연질)</t>
        </is>
      </c>
      <c r="C32" s="26" t="n">
        <v>1</v>
      </c>
      <c r="D32" s="26" t="n">
        <v>87.8</v>
      </c>
      <c r="E32" s="26" t="n">
        <v>32.6</v>
      </c>
      <c r="F32" s="26" t="n">
        <v>3.3</v>
      </c>
      <c r="G32" s="26" t="n">
        <v>2.7</v>
      </c>
      <c r="H32" s="26" t="inlineStr">
        <is>
          <t>TPU 95A</t>
        </is>
      </c>
      <c r="I32" s="26" t="inlineStr">
        <is>
          <t>부리 위 연질부</t>
        </is>
      </c>
      <c r="J32" s="26" t="inlineStr">
        <is>
          <t>assets/soft_mouth_top.stl</t>
        </is>
      </c>
    </row>
    <row r="33">
      <c r="A33" s="26" t="inlineStr">
        <is>
          <t>sole_left</t>
        </is>
      </c>
      <c r="B33" s="26" t="inlineStr">
        <is>
          <t>출력(연질)</t>
        </is>
      </c>
      <c r="C33" s="26" t="n">
        <v>1</v>
      </c>
      <c r="D33" s="26" t="n">
        <v>41.1</v>
      </c>
      <c r="E33" s="26" t="n">
        <v>54</v>
      </c>
      <c r="F33" s="26" t="n">
        <v>12.9</v>
      </c>
      <c r="G33" s="26" t="n">
        <v>6.25</v>
      </c>
      <c r="H33" s="26" t="inlineStr">
        <is>
          <t>TPU 95A</t>
        </is>
      </c>
      <c r="I33" s="26" t="inlineStr">
        <is>
          <t>발바닥</t>
        </is>
      </c>
      <c r="J33" s="26" t="inlineStr">
        <is>
          <t>assets/sole_left.stl</t>
        </is>
      </c>
    </row>
    <row r="34">
      <c r="A34" s="26" t="inlineStr">
        <is>
          <t>sole_right</t>
        </is>
      </c>
      <c r="B34" s="26" t="inlineStr">
        <is>
          <t>출력(연질)</t>
        </is>
      </c>
      <c r="C34" s="26" t="n">
        <v>1</v>
      </c>
      <c r="D34" s="26" t="n">
        <v>41.1</v>
      </c>
      <c r="E34" s="26" t="n">
        <v>54</v>
      </c>
      <c r="F34" s="26" t="n">
        <v>12.9</v>
      </c>
      <c r="G34" s="26" t="n">
        <v>6.25</v>
      </c>
      <c r="H34" s="26" t="inlineStr">
        <is>
          <t>TPU 95A</t>
        </is>
      </c>
      <c r="I34" s="26" t="inlineStr">
        <is>
          <t>발바닥</t>
        </is>
      </c>
      <c r="J34" s="26" t="inlineStr">
        <is>
          <t>assets/sole_right.stl</t>
        </is>
      </c>
    </row>
    <row r="35">
      <c r="A35" s="26" t="inlineStr">
        <is>
          <t>speaker</t>
        </is>
      </c>
      <c r="B35" s="26" t="inlineStr">
        <is>
          <t>구매품</t>
        </is>
      </c>
      <c r="C35" s="26" t="n">
        <v>1</v>
      </c>
      <c r="D35" s="26" t="n">
        <v>35</v>
      </c>
      <c r="E35" s="26" t="n">
        <v>25</v>
      </c>
      <c r="F35" s="26" t="n">
        <v>7</v>
      </c>
      <c r="G35" s="26" t="n">
        <v>6.13</v>
      </c>
      <c r="H35" s="26" t="inlineStr">
        <is>
          <t>35×25×7 mm 소형 스피커</t>
        </is>
      </c>
      <c r="I35" s="26" t="inlineStr"/>
      <c r="J35" s="26" t="inlineStr">
        <is>
          <t>assets/speaker.stl</t>
        </is>
      </c>
    </row>
    <row r="36">
      <c r="A36" s="26" t="inlineStr">
        <is>
          <t>tire</t>
        </is>
      </c>
      <c r="B36" s="26" t="inlineStr">
        <is>
          <t>출력(연질)</t>
        </is>
      </c>
      <c r="C36" s="26" t="n">
        <v>4</v>
      </c>
      <c r="D36" s="26" t="n">
        <v>7.6</v>
      </c>
      <c r="E36" s="26" t="n">
        <v>30</v>
      </c>
      <c r="F36" s="26" t="n">
        <v>30</v>
      </c>
      <c r="G36" s="26" t="n">
        <v>2.81</v>
      </c>
      <c r="H36" s="26" t="inlineStr">
        <is>
          <t>TPU 95A</t>
        </is>
      </c>
      <c r="I36" s="26" t="inlineStr">
        <is>
          <t>롤러 타이어 (선택) 롤러 옵션</t>
        </is>
      </c>
      <c r="J36" s="26" t="inlineStr">
        <is>
          <t>assets/tire.stl</t>
        </is>
      </c>
    </row>
    <row r="37">
      <c r="A37" s="26" t="inlineStr">
        <is>
          <t>top_head_shell</t>
        </is>
      </c>
      <c r="B37" s="26" t="inlineStr">
        <is>
          <t>출력(경질)</t>
        </is>
      </c>
      <c r="C37" s="26" t="n">
        <v>1</v>
      </c>
      <c r="D37" s="26" t="n">
        <v>91.8</v>
      </c>
      <c r="E37" s="26" t="n">
        <v>122.7</v>
      </c>
      <c r="F37" s="26" t="n">
        <v>46.3</v>
      </c>
      <c r="G37" s="26" t="n">
        <v>29.87</v>
      </c>
      <c r="H37" s="26" t="inlineStr">
        <is>
          <t>PETG 또는 PLA+</t>
        </is>
      </c>
      <c r="I37" s="26" t="inlineStr"/>
      <c r="J37" s="26" t="inlineStr">
        <is>
          <t>assets/top_head_shell.stl</t>
        </is>
      </c>
    </row>
    <row r="38">
      <c r="A38" s="26" t="inlineStr">
        <is>
          <t>trunk_base</t>
        </is>
      </c>
      <c r="B38" s="26" t="inlineStr">
        <is>
          <t>판재</t>
        </is>
      </c>
      <c r="C38" s="26" t="n">
        <v>1</v>
      </c>
      <c r="D38" s="26" t="n">
        <v>57</v>
      </c>
      <c r="E38" s="26" t="n">
        <v>36</v>
      </c>
      <c r="F38" s="26" t="n">
        <v>3</v>
      </c>
      <c r="G38" s="26" t="n">
        <v>1.42</v>
      </c>
      <c r="H38" s="26" t="inlineStr">
        <is>
          <t>알루미늄 1 mm</t>
        </is>
      </c>
      <c r="I38" s="26" t="inlineStr">
        <is>
          <t>몸통 바닥판 (+높이 2 mm 보스 4개는 생략) — DXF: cad/plates/dynamixel</t>
        </is>
      </c>
      <c r="J38" s="26" t="inlineStr">
        <is>
          <t>assets/trunk_base.stl</t>
        </is>
      </c>
    </row>
    <row r="39">
      <c r="A39" s="26" t="inlineStr">
        <is>
          <t>upper_leg_left</t>
        </is>
      </c>
      <c r="B39" s="26" t="inlineStr">
        <is>
          <t>출력(경질)</t>
        </is>
      </c>
      <c r="C39" s="26" t="n">
        <v>1</v>
      </c>
      <c r="D39" s="26" t="n">
        <v>28</v>
      </c>
      <c r="E39" s="26" t="n">
        <v>47.7</v>
      </c>
      <c r="F39" s="26" t="n">
        <v>61</v>
      </c>
      <c r="G39" s="26" t="n">
        <v>4.15</v>
      </c>
      <c r="H39" s="26" t="inlineStr">
        <is>
          <t>PETG 또는 PLA+</t>
        </is>
      </c>
      <c r="I39" s="26" t="inlineStr"/>
      <c r="J39" s="26" t="inlineStr">
        <is>
          <t>assets/upper_leg_left.stl</t>
        </is>
      </c>
    </row>
    <row r="40">
      <c r="A40" s="26" t="inlineStr">
        <is>
          <t>upper_leg_right</t>
        </is>
      </c>
      <c r="B40" s="26" t="inlineStr">
        <is>
          <t>출력(경질)</t>
        </is>
      </c>
      <c r="C40" s="26" t="n">
        <v>1</v>
      </c>
      <c r="D40" s="26" t="n">
        <v>28</v>
      </c>
      <c r="E40" s="26" t="n">
        <v>47.7</v>
      </c>
      <c r="F40" s="26" t="n">
        <v>61</v>
      </c>
      <c r="G40" s="26" t="n">
        <v>4.15</v>
      </c>
      <c r="H40" s="26" t="inlineStr">
        <is>
          <t>PETG 또는 PLA+</t>
        </is>
      </c>
      <c r="I40" s="26" t="inlineStr"/>
      <c r="J40" s="26" t="inlineStr">
        <is>
          <t>assets/upper_leg_right.stl</t>
        </is>
      </c>
    </row>
    <row r="41">
      <c r="A41" s="26" t="inlineStr">
        <is>
          <t>upper_leg_rigidity_plate</t>
        </is>
      </c>
      <c r="B41" s="26" t="inlineStr">
        <is>
          <t>판재</t>
        </is>
      </c>
      <c r="C41" s="26" t="n">
        <v>2</v>
      </c>
      <c r="D41" s="26" t="n">
        <v>1</v>
      </c>
      <c r="E41" s="26" t="n">
        <v>45</v>
      </c>
      <c r="F41" s="26" t="n">
        <v>58.1</v>
      </c>
      <c r="G41" s="26" t="n">
        <v>0.75</v>
      </c>
      <c r="H41" s="26" t="inlineStr">
        <is>
          <t>알루미늄 1 mm</t>
        </is>
      </c>
      <c r="I41" s="26" t="inlineStr">
        <is>
          <t>허벅지 보강판 — DXF: cad/plates/dynamixel</t>
        </is>
      </c>
      <c r="J41" s="26" t="inlineStr">
        <is>
          <t>assets/upper_leg_rigidity_plate.stl</t>
        </is>
      </c>
    </row>
    <row r="42">
      <c r="A42" s="26" t="inlineStr">
        <is>
          <t>xl330</t>
        </is>
      </c>
      <c r="B42" s="26" t="inlineStr">
        <is>
          <t>구매품</t>
        </is>
      </c>
      <c r="C42" s="26" t="n">
        <v>15</v>
      </c>
      <c r="D42" s="26" t="n">
        <v>29</v>
      </c>
      <c r="E42" s="26" t="n">
        <v>20</v>
      </c>
      <c r="F42" s="26" t="n">
        <v>34</v>
      </c>
      <c r="G42" s="26" t="n">
        <v>15.68</v>
      </c>
      <c r="H42" s="26" t="inlineStr">
        <is>
          <t>ROBOTIS XL330-M288-T</t>
        </is>
      </c>
      <c r="I42" s="26" t="inlineStr">
        <is>
          <t>서보 외형 (20×34×26 mm)</t>
        </is>
      </c>
      <c r="J42" s="26" t="inlineStr">
        <is>
          <t>assets/xl330.stl</t>
        </is>
      </c>
    </row>
    <row r="43">
      <c r="A43" s="26" t="inlineStr">
        <is>
          <t>yaw2roll</t>
        </is>
      </c>
      <c r="B43" s="26" t="inlineStr">
        <is>
          <t>출력(경질)</t>
        </is>
      </c>
      <c r="C43" s="26" t="n">
        <v>2</v>
      </c>
      <c r="D43" s="26" t="n">
        <v>23</v>
      </c>
      <c r="E43" s="26" t="n">
        <v>25.8</v>
      </c>
      <c r="F43" s="26" t="n">
        <v>20.5</v>
      </c>
      <c r="G43" s="26" t="n">
        <v>2.82</v>
      </c>
      <c r="H43" s="26" t="inlineStr">
        <is>
          <t>PETG 또는 PLA+</t>
        </is>
      </c>
      <c r="I43" s="26" t="inlineStr"/>
      <c r="J43" s="26" t="inlineStr">
        <is>
          <t>assets/yaw2roll.stl</t>
        </is>
      </c>
    </row>
    <row r="44">
      <c r="A44" s="26" t="inlineStr">
        <is>
          <t>yaw_roll_motion</t>
        </is>
      </c>
      <c r="B44" s="26" t="inlineStr">
        <is>
          <t>출력(경질)</t>
        </is>
      </c>
      <c r="C44" s="26" t="n">
        <v>1</v>
      </c>
      <c r="D44" s="26" t="n">
        <v>34</v>
      </c>
      <c r="E44" s="26" t="n">
        <v>35.9</v>
      </c>
      <c r="F44" s="26" t="n">
        <v>22.5</v>
      </c>
      <c r="G44" s="26" t="n">
        <v>4.56</v>
      </c>
      <c r="H44" s="26" t="inlineStr">
        <is>
          <t>PETG 또는 PLA+</t>
        </is>
      </c>
      <c r="I44" s="26" t="inlineStr"/>
      <c r="J44" s="26" t="inlineStr">
        <is>
          <t>assets/yaw_roll_motion.stl</t>
        </is>
      </c>
    </row>
    <row r="46">
      <c r="A46" s="2" t="inlineStr">
        <is>
          <t>출처: Pollen Robotics microduck_rl MJCF/STL 실측 (CC BY-NC-SA 4.0). 재질·분류는 추정값. 저렴한 버전은 부리 서보 자리를 고정 부품으로 대체.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2026-10-30T06:53:11Z</dcterms:created>
  <dcterms:modified xmlns:dcterms="http://purl.org/dc/terms/" xmlns:xsi="http://www.w3.org/2001/XMLSchema-instance" xsi:type="dcterms:W3CDTF">2026-10-30T06:53:12Z</dcterms:modified>
</cp:coreProperties>
</file>