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교" sheetId="1" state="visible" r:id="rId3"/>
    <sheet name="오리지널" sheetId="2" state="visible" r:id="rId4"/>
    <sheet name="저렴한 버전" sheetId="3" state="visible" r:id="rId5"/>
    <sheet name="일반 서보 버전" sheetId="4" state="visible" r:id="rId6"/>
    <sheet name="출력·부품 치수" sheetId="5" state="visible" r:id="rId7"/>
  </sheets>
  <definedNames>
    <definedName function="false" hidden="true" localSheetId="1" name="_xlnm._FilterDatabase" vbProcedure="false">오리지널!$A$5:$P$36</definedName>
    <definedName function="false" hidden="true" localSheetId="3" name="_xlnm._FilterDatabase" vbProcedure="false">'일반 서보 버전'!$A$5:$P$26</definedName>
    <definedName function="false" hidden="true" localSheetId="2" name="_xlnm._FilterDatabase" vbProcedure="false">'저렴한 버전'!$A$5:$P$26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Noto Sans CJK SC"/>
            <family val="2"/>
          </rPr>
          <t xml:space="preserve">가정값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결제 시점 환율로 바꾸세요</t>
        </r>
        <r>
          <rPr>
            <sz val="10"/>
            <rFont val="Arial"/>
            <family val="2"/>
          </rPr>
          <t xml:space="preserve">. USD </t>
        </r>
        <r>
          <rPr>
            <sz val="10"/>
            <rFont val="Noto Sans CJK SC"/>
            <family val="2"/>
          </rPr>
          <t xml:space="preserve">항목에만 적용</t>
        </r>
        <r>
          <rPr>
            <sz val="10"/>
            <rFont val="Arial"/>
            <family val="2"/>
          </rPr>
          <t xml:space="preserve">.</t>
        </r>
      </text>
    </comment>
    <comment ref="C5" authorId="0">
      <text>
        <r>
          <rPr>
            <sz val="10"/>
            <rFont val="Noto Sans CJK SC"/>
            <family val="2"/>
          </rPr>
          <t xml:space="preserve">오리지널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일반 서보 버전의 예비 부품에 적용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저렴한 버전은 예비 </t>
        </r>
        <r>
          <rPr>
            <sz val="10"/>
            <rFont val="Arial"/>
            <family val="2"/>
          </rPr>
          <t xml:space="preserve">0).</t>
        </r>
      </text>
    </comment>
  </commentList>
</comments>
</file>

<file path=xl/sharedStrings.xml><?xml version="1.0" encoding="utf-8"?>
<sst xmlns="http://schemas.openxmlformats.org/spreadsheetml/2006/main" count="1007" uniqueCount="442">
  <si>
    <r>
      <rPr>
        <b val="true"/>
        <sz val="14"/>
        <rFont val="Arial"/>
        <family val="0"/>
        <charset val="1"/>
      </rPr>
      <t xml:space="preserve">Microduck </t>
    </r>
    <r>
      <rPr>
        <b val="true"/>
        <sz val="14"/>
        <rFont val="Noto Sans CJK SC"/>
        <family val="2"/>
      </rPr>
      <t xml:space="preserve">클론 — 다이나믹셀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오리지널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저렴</t>
    </r>
    <r>
      <rPr>
        <b val="true"/>
        <sz val="14"/>
        <rFont val="Arial"/>
        <family val="0"/>
        <charset val="1"/>
      </rPr>
      <t xml:space="preserve">) vs </t>
    </r>
    <r>
      <rPr>
        <b val="true"/>
        <sz val="14"/>
        <rFont val="Noto Sans CJK SC"/>
        <family val="2"/>
      </rPr>
      <t xml:space="preserve">일반 서보</t>
    </r>
  </si>
  <si>
    <r>
      <rPr>
        <i val="true"/>
        <sz val="9"/>
        <rFont val="Noto Sans CJK SC"/>
        <family val="2"/>
      </rPr>
      <t xml:space="preserve">범례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노란 칸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파란 글씨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입력값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각 버전 시트의 수량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단가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파란 글씨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도 수정 가능</t>
    </r>
    <r>
      <rPr>
        <i val="true"/>
        <sz val="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</si>
  <si>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환율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/USD)</t>
    </r>
  </si>
  <si>
    <r>
      <rPr>
        <sz val="10"/>
        <rFont val="Noto Sans CJK SC"/>
        <family val="2"/>
      </rPr>
      <t xml:space="preserve">예비 포함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, 0=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</si>
  <si>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분류</t>
  </si>
  <si>
    <t xml:space="preserve">오리지널</t>
  </si>
  <si>
    <t xml:space="preserve">저렴한 버전</t>
  </si>
  <si>
    <t xml:space="preserve">일반 서보 버전</t>
  </si>
  <si>
    <t xml:space="preserve">구동</t>
  </si>
  <si>
    <t xml:space="preserve">컴퓨팅</t>
  </si>
  <si>
    <t xml:space="preserve">센서</t>
  </si>
  <si>
    <t xml:space="preserve">오디오</t>
  </si>
  <si>
    <t xml:space="preserve">전원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</si>
  <si>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·PCB</t>
    </r>
  </si>
  <si>
    <t xml:space="preserve">기구</t>
  </si>
  <si>
    <t xml:space="preserve">출력소재</t>
  </si>
  <si>
    <t xml:space="preserve">기타</t>
  </si>
  <si>
    <r>
      <rPr>
        <sz val="10"/>
        <rFont val="Noto Sans CJK SC"/>
        <family val="2"/>
      </rPr>
      <t xml:space="preserve">제어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배선</t>
    </r>
  </si>
  <si>
    <t xml:space="preserve">합계</t>
  </si>
  <si>
    <r>
      <rPr>
        <sz val="10"/>
        <rFont val="Noto Sans CJK SC"/>
        <family val="2"/>
      </rPr>
      <t xml:space="preserve">주력 서보 비용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첫 행</t>
    </r>
    <r>
      <rPr>
        <sz val="10"/>
        <rFont val="Arial"/>
        <family val="0"/>
        <charset val="1"/>
      </rPr>
      <t xml:space="preserve">)</t>
    </r>
  </si>
  <si>
    <t xml:space="preserve">항목</t>
  </si>
  <si>
    <t xml:space="preserve">서보</t>
  </si>
  <si>
    <r>
      <rPr>
        <sz val="10"/>
        <rFont val="Arial"/>
        <family val="0"/>
        <charset val="1"/>
      </rPr>
      <t xml:space="preserve">XL330 15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예비 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</si>
  <si>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XL330 14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부리 고정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</si>
  <si>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MG996R 11 + MG90S 4 (+</t>
    </r>
    <r>
      <rPr>
        <sz val="10"/>
        <rFont val="Noto Sans CJK SC"/>
        <family val="2"/>
      </rPr>
      <t xml:space="preserve">예비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</si>
  <si>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</si>
  <si>
    <r>
      <rPr>
        <sz val="10"/>
        <rFont val="Arial"/>
        <family val="0"/>
        <charset val="1"/>
      </rPr>
      <t xml:space="preserve">25 cm,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0.74 kg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</si>
  <si>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37 cm, 1.4–1.7 kg 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</si>
  <si>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t xml:space="preserve">위치 피드백</t>
  </si>
  <si>
    <t xml:space="preserve">서보 내장</t>
  </si>
  <si>
    <r>
      <rPr>
        <sz val="10"/>
        <rFont val="Noto Sans CJK SC"/>
        <family val="2"/>
      </rPr>
      <t xml:space="preserve">가변저항 배선 개조 </t>
    </r>
    <r>
      <rPr>
        <sz val="10"/>
        <rFont val="Arial"/>
        <family val="0"/>
        <charset val="1"/>
      </rPr>
      <t xml:space="preserve">+ ADS1115</t>
    </r>
  </si>
  <si>
    <t xml:space="preserve">제어기</t>
  </si>
  <si>
    <r>
      <rPr>
        <sz val="10"/>
        <rFont val="Arial"/>
        <family val="0"/>
        <charset val="1"/>
      </rPr>
      <t xml:space="preserve">Radxa Zero 3W + UART </t>
    </r>
    <r>
      <rPr>
        <sz val="10"/>
        <rFont val="Noto Sans CJK SC"/>
        <family val="2"/>
      </rPr>
      <t xml:space="preserve">버스</t>
    </r>
  </si>
  <si>
    <t xml:space="preserve">Pi Zero 2W + PCA9685 (I²C)</t>
  </si>
  <si>
    <r>
      <rPr>
        <sz val="10"/>
        <rFont val="Arial"/>
        <family val="0"/>
        <charset val="1"/>
      </rPr>
      <t xml:space="preserve">IMU + ToF + </t>
    </r>
    <r>
      <rPr>
        <sz val="10"/>
        <rFont val="Noto Sans CJK SC"/>
        <family val="2"/>
      </rPr>
      <t xml:space="preserve">카메라</t>
    </r>
  </si>
  <si>
    <r>
      <rPr>
        <sz val="10"/>
        <rFont val="Arial"/>
        <family val="0"/>
        <charset val="1"/>
      </rPr>
      <t xml:space="preserve">IMU</t>
    </r>
    <r>
      <rPr>
        <sz val="10"/>
        <rFont val="Noto Sans CJK SC"/>
        <family val="2"/>
      </rPr>
      <t xml:space="preserve">만</t>
    </r>
  </si>
  <si>
    <r>
      <rPr>
        <sz val="10"/>
        <rFont val="Arial"/>
        <family val="0"/>
        <charset val="1"/>
      </rPr>
      <t xml:space="preserve">BNO085 IMU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</si>
  <si>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오디오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조종</t>
    </r>
  </si>
  <si>
    <r>
      <rPr>
        <sz val="10"/>
        <rFont val="Noto Sans CJK SC"/>
        <family val="2"/>
      </rPr>
      <t xml:space="preserve">코덱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스피커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마이크</t>
    </r>
    <r>
      <rPr>
        <sz val="10"/>
        <rFont val="Arial"/>
        <family val="0"/>
        <charset val="1"/>
      </rPr>
      <t xml:space="preserve">, Xbox </t>
    </r>
    <r>
      <rPr>
        <sz val="10"/>
        <rFont val="Noto Sans CJK SC"/>
        <family val="2"/>
      </rPr>
      <t xml:space="preserve">패드</t>
    </r>
  </si>
  <si>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, UDP </t>
    </r>
    <r>
      <rPr>
        <sz val="10"/>
        <rFont val="Noto Sans CJK SC"/>
        <family val="2"/>
      </rPr>
      <t xml:space="preserve">패드</t>
    </r>
  </si>
  <si>
    <t xml:space="preserve">CAD</t>
  </si>
  <si>
    <r>
      <rPr>
        <sz val="10"/>
        <rFont val="Arial"/>
        <family val="0"/>
        <charset val="1"/>
      </rPr>
      <t xml:space="preserve">Pollen </t>
    </r>
    <r>
      <rPr>
        <sz val="10"/>
        <rFont val="Noto Sans CJK SC"/>
        <family val="2"/>
      </rPr>
      <t xml:space="preserve">형상 그대로</t>
    </r>
  </si>
  <si>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배 새로 설계</t>
    </r>
  </si>
  <si>
    <r>
      <rPr>
        <sz val="10"/>
        <rFont val="Noto Sans CJK SC"/>
        <family val="2"/>
      </rPr>
      <t xml:space="preserve">정책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런타임</t>
    </r>
  </si>
  <si>
    <r>
      <rPr>
        <sz val="10"/>
        <rFont val="Arial"/>
        <family val="0"/>
        <charset val="1"/>
      </rPr>
      <t xml:space="preserve">Pollen </t>
    </r>
    <r>
      <rPr>
        <sz val="10"/>
        <rFont val="Noto Sans CJK SC"/>
        <family val="2"/>
      </rPr>
      <t xml:space="preserve">것 그대로</t>
    </r>
  </si>
  <si>
    <t xml:space="preserve">부리 제외 패치</t>
  </si>
  <si>
    <r>
      <rPr>
        <sz val="10"/>
        <rFont val="Noto Sans CJK SC"/>
        <family val="2"/>
      </rPr>
      <t xml:space="preserve">새 액추에이터 모델로 재학습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파이썬 런타임 새로 작성</t>
    </r>
  </si>
  <si>
    <t xml:space="preserve">난이도</t>
  </si>
  <si>
    <t xml:space="preserve">중</t>
  </si>
  <si>
    <r>
      <rPr>
        <sz val="10"/>
        <rFont val="Noto Sans CJK SC"/>
        <family val="2"/>
      </rPr>
      <t xml:space="preserve">상 </t>
    </r>
    <r>
      <rPr>
        <sz val="10"/>
        <rFont val="Arial"/>
        <family val="0"/>
        <charset val="1"/>
      </rPr>
      <t xml:space="preserve">(sim2real </t>
    </r>
    <r>
      <rPr>
        <sz val="10"/>
        <rFont val="Noto Sans CJK SC"/>
        <family val="2"/>
      </rPr>
      <t xml:space="preserve">어려움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</si>
  <si>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⚠ 2026-10-29 </t>
    </r>
    <r>
      <rPr>
        <b val="true"/>
        <sz val="10"/>
        <rFont val="Noto Sans CJK SC"/>
        <family val="2"/>
      </rPr>
      <t xml:space="preserve">기준 </t>
    </r>
    <r>
      <rPr>
        <b val="true"/>
        <sz val="10"/>
        <rFont val="Arial"/>
        <family val="0"/>
        <charset val="1"/>
      </rPr>
      <t xml:space="preserve">Radxa Zero 3W(</t>
    </r>
    <r>
      <rPr>
        <b val="true"/>
        <sz val="10"/>
        <rFont val="Noto Sans CJK SC"/>
        <family val="2"/>
      </rPr>
      <t xml:space="preserve">다이나믹셀 버전</t>
    </r>
    <r>
      <rPr>
        <b val="true"/>
        <sz val="10"/>
        <rFont val="Arial"/>
        <family val="0"/>
        <charset val="1"/>
      </rPr>
      <t xml:space="preserve">)·Pi Zero 2W(</t>
    </r>
    <r>
      <rPr>
        <b val="true"/>
        <sz val="10"/>
        <rFont val="Noto Sans CJK SC"/>
        <family val="2"/>
      </rPr>
      <t xml:space="preserve">일반 서보 버전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모두 일부 판매처 품절</t>
    </r>
    <r>
      <rPr>
        <b val="true"/>
        <sz val="10"/>
        <rFont val="Arial"/>
        <family val="0"/>
        <charset val="1"/>
      </rPr>
      <t xml:space="preserve">.</t>
    </r>
  </si>
  <si>
    <r>
      <rPr>
        <i val="true"/>
        <sz val="9"/>
        <rFont val="Noto Sans CJK SC"/>
        <family val="2"/>
      </rPr>
      <t xml:space="preserve">가격근거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Noto Sans CJK SC"/>
        <family val="2"/>
      </rPr>
      <t xml:space="preserve">확인</t>
    </r>
    <r>
      <rPr>
        <i val="true"/>
        <sz val="9"/>
        <rFont val="Arial"/>
        <family val="0"/>
        <charset val="1"/>
      </rPr>
      <t xml:space="preserve">' = </t>
    </r>
    <r>
      <rPr>
        <i val="true"/>
        <sz val="9"/>
        <rFont val="Noto Sans CJK SC"/>
        <family val="2"/>
      </rPr>
      <t xml:space="preserve">판매 페이지 정가 확인</t>
    </r>
    <r>
      <rPr>
        <i val="true"/>
        <sz val="9"/>
        <rFont val="Arial"/>
        <family val="0"/>
        <charset val="1"/>
      </rPr>
      <t xml:space="preserve">, '</t>
    </r>
    <r>
      <rPr>
        <i val="true"/>
        <sz val="9"/>
        <rFont val="Noto Sans CJK SC"/>
        <family val="2"/>
      </rPr>
      <t xml:space="preserve">추정</t>
    </r>
    <r>
      <rPr>
        <i val="true"/>
        <sz val="9"/>
        <rFont val="Arial"/>
        <family val="0"/>
        <charset val="1"/>
      </rPr>
      <t xml:space="preserve">' = </t>
    </r>
    <r>
      <rPr>
        <i val="true"/>
        <sz val="9"/>
        <rFont val="Noto Sans CJK SC"/>
        <family val="2"/>
      </rPr>
      <t xml:space="preserve">시세 추정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배송비 별도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</si>
  <si>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Microduck </t>
    </r>
    <r>
      <rPr>
        <b val="true"/>
        <sz val="14"/>
        <rFont val="Noto Sans CJK SC"/>
        <family val="2"/>
      </rPr>
      <t xml:space="preserve">클론 </t>
    </r>
    <r>
      <rPr>
        <b val="true"/>
        <sz val="14"/>
        <rFont val="Arial"/>
        <family val="0"/>
        <charset val="1"/>
      </rPr>
      <t xml:space="preserve">BOM — </t>
    </r>
    <r>
      <rPr>
        <b val="true"/>
        <sz val="14"/>
        <rFont val="Noto Sans CJK SC"/>
        <family val="2"/>
      </rPr>
      <t xml:space="preserve">오리지널</t>
    </r>
  </si>
  <si>
    <r>
      <rPr>
        <i val="true"/>
        <sz val="9"/>
        <rFont val="Noto Sans CJK SC"/>
        <family val="2"/>
      </rPr>
      <t xml:space="preserve">다이나믹셀 </t>
    </r>
    <r>
      <rPr>
        <i val="true"/>
        <sz val="9"/>
        <rFont val="Arial"/>
        <family val="0"/>
        <charset val="1"/>
      </rPr>
      <t xml:space="preserve">· Pollen Microduck </t>
    </r>
    <r>
      <rPr>
        <i val="true"/>
        <sz val="9"/>
        <rFont val="Noto Sans CJK SC"/>
        <family val="2"/>
      </rPr>
      <t xml:space="preserve">하드웨어 그대로</t>
    </r>
    <r>
      <rPr>
        <i val="true"/>
        <sz val="9"/>
        <rFont val="Arial"/>
        <family val="0"/>
        <charset val="1"/>
      </rPr>
      <t xml:space="preserve">: 15</t>
    </r>
    <r>
      <rPr>
        <i val="true"/>
        <sz val="9"/>
        <rFont val="Noto Sans CJK SC"/>
        <family val="2"/>
      </rPr>
      <t xml:space="preserve">축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부리 포함</t>
    </r>
    <r>
      <rPr>
        <i val="true"/>
        <sz val="9"/>
        <rFont val="Arial"/>
        <family val="0"/>
        <charset val="1"/>
      </rPr>
      <t xml:space="preserve">), ToF·</t>
    </r>
    <r>
      <rPr>
        <i val="true"/>
        <sz val="9"/>
        <rFont val="Noto Sans CJK SC"/>
        <family val="2"/>
      </rPr>
      <t xml:space="preserve">카메라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오디오</t>
    </r>
    <r>
      <rPr>
        <i val="true"/>
        <sz val="9"/>
        <rFont val="Arial"/>
        <family val="0"/>
        <charset val="1"/>
      </rPr>
      <t xml:space="preserve">, U2D2, </t>
    </r>
    <r>
      <rPr>
        <i val="true"/>
        <sz val="9"/>
        <rFont val="Noto Sans CJK SC"/>
        <family val="2"/>
      </rPr>
      <t xml:space="preserve">게임패드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예비 부품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</si>
  <si>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Noto Sans CJK SC"/>
        <family val="2"/>
      </rPr>
      <t xml:space="preserve">환율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예비 포함 여부는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Noto Sans CJK SC"/>
        <family val="2"/>
      </rPr>
      <t xml:space="preserve">비교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Noto Sans CJK SC"/>
        <family val="2"/>
      </rPr>
      <t xml:space="preserve">시트의 노란 칸에서 바꾼다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쿠폰 할인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배송비 미반영</t>
    </r>
    <r>
      <rPr>
        <i val="true"/>
        <sz val="9"/>
        <rFont val="Arial"/>
        <family val="0"/>
        <charset val="1"/>
      </rPr>
      <t xml:space="preserve">.</t>
    </r>
  </si>
  <si>
    <t xml:space="preserve">품목</t>
  </si>
  <si>
    <r>
      <rPr>
        <b val="true"/>
        <sz val="10"/>
        <color rgb="FFFFFFFF"/>
        <rFont val="Noto Sans CJK SC"/>
        <family val="2"/>
      </rPr>
      <t xml:space="preserve">규격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모델</t>
    </r>
  </si>
  <si>
    <t xml:space="preserve">수량</t>
  </si>
  <si>
    <t xml:space="preserve">예비</t>
  </si>
  <si>
    <t xml:space="preserve">총수량</t>
  </si>
  <si>
    <t xml:space="preserve">단가</t>
  </si>
  <si>
    <t xml:space="preserve">통화</t>
  </si>
  <si>
    <r>
      <rPr>
        <b val="true"/>
        <sz val="10"/>
        <color rgb="FFFFFFFF"/>
        <rFont val="Noto Sans CJK SC"/>
        <family val="2"/>
      </rPr>
      <t xml:space="preserve">단가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</si>
  <si>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</si>
  <si>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가격근거</t>
  </si>
  <si>
    <t xml:space="preserve">구매처</t>
  </si>
  <si>
    <t xml:space="preserve">구매 링크</t>
  </si>
  <si>
    <t xml:space="preserve">링크유형</t>
  </si>
  <si>
    <t xml:space="preserve">대안 구매처</t>
  </si>
  <si>
    <t xml:space="preserve">메모</t>
  </si>
  <si>
    <t xml:space="preserve">다이나믹셀 서보</t>
  </si>
  <si>
    <t xml:space="preserve">ROBOTIS XL330-M288-T</t>
  </si>
  <si>
    <t xml:space="preserve">KRW</t>
  </si>
  <si>
    <t xml:space="preserve">확인</t>
  </si>
  <si>
    <t xml:space="preserve">로보티즈 공식몰</t>
  </si>
  <si>
    <t xml:space="preserve">https://www.robotis.com/shop/item.php?it_id=902-0163-000</t>
  </si>
  <si>
    <t xml:space="preserve">상품</t>
  </si>
  <si>
    <r>
      <rPr>
        <sz val="10"/>
        <rFont val="Noto Sans CJK SC"/>
        <family val="2"/>
      </rPr>
      <t xml:space="preserve">로보몰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동일가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품절</t>
    </r>
    <r>
      <rPr>
        <sz val="10"/>
        <rFont val="Arial"/>
        <family val="0"/>
        <charset val="1"/>
      </rPr>
      <t xml:space="preserve">): https://robomall.co.kr/product/%EB%8B%A4%EC%9D%B4%EB%82%98%EB%AF%B9%EC%85%80-xl330-m288-t/21150/</t>
    </r>
  </si>
  <si>
    <r>
      <rPr>
        <sz val="10"/>
        <rFont val="Noto Sans CJK SC"/>
        <family val="2"/>
      </rPr>
      <t xml:space="preserve">준비기간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일 → 가장 먼저 주문</t>
    </r>
    <r>
      <rPr>
        <sz val="10"/>
        <rFont val="Arial"/>
        <family val="0"/>
        <charset val="1"/>
      </rPr>
      <t xml:space="preserve">. 5</t>
    </r>
    <r>
      <rPr>
        <sz val="10"/>
        <rFont val="Noto Sans CJK SC"/>
        <family val="2"/>
      </rPr>
      <t xml:space="preserve">만원 이상 무료배송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저렴한 버전은 부리</t>
    </r>
    <r>
      <rPr>
        <sz val="10"/>
        <rFont val="Arial"/>
        <family val="0"/>
        <charset val="1"/>
      </rPr>
      <t xml:space="preserve">(ID 34) </t>
    </r>
    <r>
      <rPr>
        <sz val="10"/>
        <rFont val="Noto Sans CJK SC"/>
        <family val="2"/>
      </rPr>
      <t xml:space="preserve">생략 →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</t>
    </r>
  </si>
  <si>
    <t xml:space="preserve">서보 설정 인터페이스</t>
  </si>
  <si>
    <t xml:space="preserve">ROBOTIS U2D2</t>
  </si>
  <si>
    <t xml:space="preserve">https://www.robotis.com/shop/item.php?it_id=902-0132-000</t>
  </si>
  <si>
    <r>
      <rPr>
        <sz val="10"/>
        <rFont val="Noto Sans CJK SC"/>
        <family val="2"/>
      </rPr>
      <t xml:space="preserve">정품 </t>
    </r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인터페이스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준비기간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</si>
  <si>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0"/>
        <charset val="1"/>
      </rPr>
      <t xml:space="preserve">U2D2 </t>
    </r>
    <r>
      <rPr>
        <sz val="10"/>
        <rFont val="Noto Sans CJK SC"/>
        <family val="2"/>
      </rPr>
      <t xml:space="preserve">전원 허브</t>
    </r>
  </si>
  <si>
    <t xml:space="preserve">U2D2 PHB Set</t>
  </si>
  <si>
    <t xml:space="preserve">https://www.robotis.com/shop/list.php?ca_id=202030</t>
  </si>
  <si>
    <t xml:space="preserve">목록</t>
  </si>
  <si>
    <t xml:space="preserve">벤치에서 서보 여러 개 전원 분배</t>
  </si>
  <si>
    <t xml:space="preserve">서보 케이블 추가</t>
  </si>
  <si>
    <r>
      <rPr>
        <sz val="10"/>
        <rFont val="Noto Sans CJK SC"/>
        <family val="2"/>
      </rPr>
      <t xml:space="preserve">로봇 케이블</t>
    </r>
    <r>
      <rPr>
        <sz val="10"/>
        <rFont val="Arial"/>
        <family val="0"/>
        <charset val="1"/>
      </rPr>
      <t xml:space="preserve">-X3P 180mm 10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</si>
  <si>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자작</t>
    </r>
    <r>
      <rPr>
        <sz val="10"/>
        <rFont val="Arial"/>
        <family val="0"/>
        <charset val="1"/>
      </rPr>
      <t xml:space="preserve">: https://search.shopping.naver.com/search/all?query=JST+EH+3%ED%95%80+%EC%BC%80%EC%9D%B4%EB%B8%94&amp;sort=price_asc</t>
    </r>
  </si>
  <si>
    <r>
      <rPr>
        <sz val="10"/>
        <rFont val="Noto Sans CJK SC"/>
        <family val="2"/>
      </rPr>
      <t xml:space="preserve">저렴한 버전은 서보 동봉 케이블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개당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해결</t>
    </r>
  </si>
  <si>
    <r>
      <rPr>
        <sz val="10"/>
        <rFont val="Noto Sans CJK SC"/>
        <family val="2"/>
      </rPr>
      <t xml:space="preserve">메인 </t>
    </r>
    <r>
      <rPr>
        <sz val="10"/>
        <rFont val="Arial"/>
        <family val="0"/>
        <charset val="1"/>
      </rPr>
      <t xml:space="preserve">SBC</t>
    </r>
  </si>
  <si>
    <r>
      <rPr>
        <sz val="10"/>
        <rFont val="Arial"/>
        <family val="0"/>
        <charset val="1"/>
      </rPr>
      <t xml:space="preserve">Radxa Zero 3W (1GB/8GB eMMC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2GB/16GB)</t>
    </r>
  </si>
  <si>
    <t xml:space="preserve">USD</t>
  </si>
  <si>
    <r>
      <rPr>
        <sz val="10"/>
        <rFont val="Arial"/>
        <family val="0"/>
        <charset val="1"/>
      </rPr>
      <t xml:space="preserve">ARACE (Radxa </t>
    </r>
    <r>
      <rPr>
        <sz val="10"/>
        <rFont val="Noto Sans CJK SC"/>
        <family val="2"/>
      </rPr>
      <t xml:space="preserve">공식 파트너</t>
    </r>
    <r>
      <rPr>
        <sz val="10"/>
        <rFont val="Arial"/>
        <family val="0"/>
        <charset val="1"/>
      </rPr>
      <t xml:space="preserve">)</t>
    </r>
  </si>
  <si>
    <t xml:space="preserve">https://arace.tech/products/radxa-zero-3w</t>
  </si>
  <si>
    <r>
      <rPr>
        <sz val="10"/>
        <rFont val="Noto Sans CJK SC"/>
        <family val="2"/>
      </rPr>
      <t xml:space="preserve">알리</t>
    </r>
    <r>
      <rPr>
        <sz val="10"/>
        <rFont val="Arial"/>
        <family val="0"/>
        <charset val="1"/>
      </rPr>
      <t xml:space="preserve">: https://www.aliexpress.com/w/wholesale-Radxa-Zero-3W.html?SortType=price_asc / allnetchina: https://shop.allnetchina.cn/products/copy-of-radxa-zero-3w</t>
    </r>
  </si>
  <si>
    <r>
      <rPr>
        <sz val="10"/>
        <rFont val="Arial"/>
        <family val="0"/>
        <charset val="1"/>
      </rPr>
      <t xml:space="preserve">⚠ 2026-10-29 </t>
    </r>
    <r>
      <rPr>
        <sz val="10"/>
        <rFont val="Noto Sans CJK SC"/>
        <family val="2"/>
      </rPr>
      <t xml:space="preserve">확인 시 </t>
    </r>
    <r>
      <rPr>
        <sz val="10"/>
        <rFont val="Arial"/>
        <family val="0"/>
        <charset val="1"/>
      </rPr>
      <t xml:space="preserve">ARACE·ameridroid·allnetchina </t>
    </r>
    <r>
      <rPr>
        <sz val="10"/>
        <rFont val="Noto Sans CJK SC"/>
        <family val="2"/>
      </rPr>
      <t xml:space="preserve">전 모델 품절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재입고 알림 신청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: Orange Pi Zero 2W / Pi Zero 2W 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65×30, </t>
    </r>
    <r>
      <rPr>
        <sz val="10"/>
        <rFont val="Noto Sans CJK SC"/>
        <family val="2"/>
      </rPr>
      <t xml:space="preserve">런타임 포팅 필요</t>
    </r>
    <r>
      <rPr>
        <sz val="10"/>
        <rFont val="Arial"/>
        <family val="0"/>
        <charset val="1"/>
      </rPr>
      <t xml:space="preserve">)</t>
    </r>
  </si>
  <si>
    <t xml:space="preserve">방열판</t>
  </si>
  <si>
    <r>
      <rPr>
        <sz val="10"/>
        <rFont val="Arial"/>
        <family val="0"/>
        <charset val="1"/>
      </rPr>
      <t xml:space="preserve">Radxa ZERO 3W/3E </t>
    </r>
    <r>
      <rPr>
        <sz val="10"/>
        <rFont val="Noto Sans CJK SC"/>
        <family val="2"/>
      </rPr>
      <t xml:space="preserve">전용 히트싱크</t>
    </r>
  </si>
  <si>
    <t xml:space="preserve">추정</t>
  </si>
  <si>
    <t xml:space="preserve">알리익스프레스</t>
  </si>
  <si>
    <t xml:space="preserve">https://www.aliexpress.us/item/3256806829446736.html</t>
  </si>
  <si>
    <r>
      <rPr>
        <sz val="10"/>
        <rFont val="Noto Sans CJK SC"/>
        <family val="2"/>
      </rPr>
      <t xml:space="preserve">원본 문서에 </t>
    </r>
    <r>
      <rPr>
        <sz val="10"/>
        <rFont val="Arial"/>
        <family val="0"/>
        <charset val="1"/>
      </rPr>
      <t xml:space="preserve">95 °C </t>
    </r>
    <r>
      <rPr>
        <sz val="10"/>
        <rFont val="Noto Sans CJK SC"/>
        <family val="2"/>
      </rPr>
      <t xml:space="preserve">스로틀링 사례</t>
    </r>
  </si>
  <si>
    <r>
      <rPr>
        <sz val="10"/>
        <rFont val="Noto Sans CJK SC"/>
        <family val="2"/>
      </rPr>
      <t xml:space="preserve">몸통 </t>
    </r>
    <r>
      <rPr>
        <sz val="10"/>
        <rFont val="Arial"/>
        <family val="0"/>
        <charset val="1"/>
      </rPr>
      <t xml:space="preserve">IMU</t>
    </r>
  </si>
  <si>
    <t xml:space="preserve">SparkFun 6DoF LSM6DSV16X (Qwiic) SEN-21325</t>
  </si>
  <si>
    <t xml:space="preserve">SparkFun</t>
  </si>
  <si>
    <t xml:space="preserve">https://www.sparkfun.com/sparkfun-6dof-imu-breakout-lsm6dsv16x-qwiic.html</t>
  </si>
  <si>
    <r>
      <rPr>
        <sz val="10"/>
        <rFont val="Noto Sans CJK SC"/>
        <family val="2"/>
      </rPr>
      <t xml:space="preserve">알리 저가 모듈</t>
    </r>
    <r>
      <rPr>
        <sz val="10"/>
        <rFont val="Arial"/>
        <family val="0"/>
        <charset val="1"/>
      </rPr>
      <t xml:space="preserve">: https://www.aliexpress.com/w/wholesale-LSM6DSV16X-module.html?SortType=price_asc</t>
    </r>
  </si>
  <si>
    <r>
      <rPr>
        <sz val="10"/>
        <rFont val="Noto Sans CJK SC"/>
        <family val="2"/>
      </rPr>
      <t xml:space="preserve">원본과 같은 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알리 저가 모듈을 찾으면 저렴한 버전은 그쪽으로</t>
    </r>
  </si>
  <si>
    <r>
      <rPr>
        <sz val="10"/>
        <rFont val="Arial"/>
        <family val="0"/>
        <charset val="1"/>
      </rPr>
      <t xml:space="preserve">IMU </t>
    </r>
    <r>
      <rPr>
        <sz val="10"/>
        <rFont val="Noto Sans CJK SC"/>
        <family val="2"/>
      </rPr>
      <t xml:space="preserve">브리지 </t>
    </r>
    <r>
      <rPr>
        <sz val="10"/>
        <rFont val="Arial"/>
        <family val="0"/>
        <charset val="1"/>
      </rPr>
      <t xml:space="preserve">MCU</t>
    </r>
  </si>
  <si>
    <t xml:space="preserve">ESP32-C3 SuperMini</t>
  </si>
  <si>
    <t xml:space="preserve">네이버쇼핑 최저가</t>
  </si>
  <si>
    <t xml:space="preserve">https://search.shopping.naver.com/search/all?query=ESP32-C3+SuperMini&amp;sort=price_asc</t>
  </si>
  <si>
    <t xml:space="preserve">검색</t>
  </si>
  <si>
    <r>
      <rPr>
        <sz val="10"/>
        <rFont val="Noto Sans CJK SC"/>
        <family val="2"/>
      </rPr>
      <t xml:space="preserve">알리</t>
    </r>
    <r>
      <rPr>
        <sz val="10"/>
        <rFont val="Arial"/>
        <family val="0"/>
        <charset val="1"/>
      </rPr>
      <t xml:space="preserve">: https://www.aliexpress.com/w/wholesale-ESP32-C3-SuperMini.html?SortType=price_asc</t>
    </r>
  </si>
  <si>
    <r>
      <rPr>
        <sz val="10"/>
        <rFont val="Noto Sans CJK SC"/>
        <family val="2"/>
      </rPr>
      <t xml:space="preserve">버스 </t>
    </r>
    <r>
      <rPr>
        <sz val="10"/>
        <rFont val="Arial"/>
        <family val="0"/>
        <charset val="1"/>
      </rPr>
      <t xml:space="preserve">ID 200 </t>
    </r>
    <r>
      <rPr>
        <sz val="10"/>
        <rFont val="Noto Sans CJK SC"/>
        <family val="2"/>
      </rPr>
      <t xml:space="preserve">슬레이브 펌웨어 </t>
    </r>
    <r>
      <rPr>
        <sz val="10"/>
        <rFont val="Arial"/>
        <family val="0"/>
        <charset val="1"/>
      </rPr>
      <t xml:space="preserve">(firmware/imu_to_dxl)</t>
    </r>
  </si>
  <si>
    <r>
      <rPr>
        <sz val="10"/>
        <rFont val="Arial"/>
        <family val="0"/>
        <charset val="1"/>
      </rPr>
      <t xml:space="preserve">ToF 8×8 </t>
    </r>
    <r>
      <rPr>
        <sz val="10"/>
        <rFont val="Noto Sans CJK SC"/>
        <family val="2"/>
      </rPr>
      <t xml:space="preserve">깊이센서</t>
    </r>
  </si>
  <si>
    <t xml:space="preserve">Pololu VL53L8CX Carrier #3419</t>
  </si>
  <si>
    <r>
      <rPr>
        <sz val="10"/>
        <rFont val="Arial"/>
        <family val="0"/>
        <charset val="1"/>
      </rPr>
      <t xml:space="preserve">DigiKey </t>
    </r>
    <r>
      <rPr>
        <sz val="10"/>
        <rFont val="Noto Sans CJK SC"/>
        <family val="2"/>
      </rPr>
      <t xml:space="preserve">코리아</t>
    </r>
  </si>
  <si>
    <t xml:space="preserve">https://www.digikey.kr/en/products/detail/pololu/3419/22310072</t>
  </si>
  <si>
    <r>
      <rPr>
        <sz val="10"/>
        <rFont val="Arial"/>
        <family val="0"/>
        <charset val="1"/>
      </rPr>
      <t xml:space="preserve">Pololu </t>
    </r>
    <r>
      <rPr>
        <sz val="10"/>
        <rFont val="Noto Sans CJK SC"/>
        <family val="2"/>
      </rPr>
      <t xml:space="preserve">직구</t>
    </r>
    <r>
      <rPr>
        <sz val="10"/>
        <rFont val="Arial"/>
        <family val="0"/>
        <charset val="1"/>
      </rPr>
      <t xml:space="preserve">: https://www.pololu.com/product/3419</t>
    </r>
  </si>
  <si>
    <r>
      <rPr>
        <sz val="10"/>
        <rFont val="Noto Sans CJK SC"/>
        <family val="2"/>
      </rPr>
      <t xml:space="preserve">원본 머리 깊이센서 </t>
    </r>
    <r>
      <rPr>
        <sz val="10"/>
        <rFont val="Arial"/>
        <family val="0"/>
        <charset val="1"/>
      </rPr>
      <t xml:space="preserve">(VL53L8CX)</t>
    </r>
  </si>
  <si>
    <t xml:space="preserve">카메라</t>
  </si>
  <si>
    <r>
      <rPr>
        <sz val="10"/>
        <rFont val="Arial"/>
        <family val="0"/>
        <charset val="1"/>
      </rPr>
      <t xml:space="preserve">IMX219 </t>
    </r>
    <r>
      <rPr>
        <sz val="10"/>
        <rFont val="Noto Sans CJK SC"/>
        <family val="2"/>
      </rPr>
      <t xml:space="preserve">모듈 </t>
    </r>
    <r>
      <rPr>
        <sz val="10"/>
        <rFont val="Arial"/>
        <family val="0"/>
        <charset val="1"/>
      </rPr>
      <t xml:space="preserve">+ M12 </t>
    </r>
    <r>
      <rPr>
        <sz val="10"/>
        <rFont val="Noto Sans CJK SC"/>
        <family val="2"/>
      </rPr>
      <t xml:space="preserve">광각렌즈</t>
    </r>
  </si>
  <si>
    <t xml:space="preserve">https://www.aliexpress.com/w/wholesale-IMX219-M12-camera-module.html?SortType=price_asc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</si>
  <si>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https://search.shopping.naver.com/search/all?query=IMX219+%EC%B9%B4%EB%A9%94%EB%9D%BC+%EB%AA%A8%EB%93%88&amp;sort=price_asc</t>
    </r>
  </si>
  <si>
    <r>
      <rPr>
        <sz val="10"/>
        <rFont val="Arial"/>
        <family val="0"/>
        <charset val="1"/>
      </rPr>
      <t xml:space="preserve">Radxa Zero 3W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핀 </t>
    </r>
    <r>
      <rPr>
        <sz val="10"/>
        <rFont val="Arial"/>
        <family val="0"/>
        <charset val="1"/>
      </rPr>
      <t xml:space="preserve">CSI</t>
    </r>
  </si>
  <si>
    <r>
      <rPr>
        <sz val="10"/>
        <rFont val="Arial"/>
        <family val="0"/>
        <charset val="1"/>
      </rPr>
      <t xml:space="preserve">CSI </t>
    </r>
    <r>
      <rPr>
        <sz val="10"/>
        <rFont val="Noto Sans CJK SC"/>
        <family val="2"/>
      </rPr>
      <t xml:space="preserve">케이블</t>
    </r>
  </si>
  <si>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핀↔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핀 </t>
    </r>
    <r>
      <rPr>
        <sz val="10"/>
        <rFont val="Arial"/>
        <family val="0"/>
        <charset val="1"/>
      </rPr>
      <t xml:space="preserve">FPC 100 mm</t>
    </r>
  </si>
  <si>
    <t xml:space="preserve">https://www.aliexpress.com/w/wholesale-22pin-to-15pin-CSI-cable.html?SortType=price_asc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</si>
  <si>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핀 카메라 모듈일 때</t>
    </r>
  </si>
  <si>
    <t xml:space="preserve">오디오 코덱</t>
  </si>
  <si>
    <r>
      <rPr>
        <sz val="10"/>
        <rFont val="Arial"/>
        <family val="0"/>
        <charset val="1"/>
      </rPr>
      <t xml:space="preserve">TLV320AIC3104IRHBR (HAT </t>
    </r>
    <r>
      <rPr>
        <sz val="10"/>
        <rFont val="Noto Sans CJK SC"/>
        <family val="2"/>
      </rPr>
      <t xml:space="preserve">실장</t>
    </r>
    <r>
      <rPr>
        <sz val="10"/>
        <rFont val="Arial"/>
        <family val="0"/>
        <charset val="1"/>
      </rPr>
      <t xml:space="preserve">)</t>
    </r>
  </si>
  <si>
    <t xml:space="preserve">LCSC</t>
  </si>
  <si>
    <t xml:space="preserve">https://www.lcsc.com/search?q=TLV320AIC3104</t>
  </si>
  <si>
    <r>
      <rPr>
        <sz val="10"/>
        <rFont val="Noto Sans CJK SC"/>
        <family val="2"/>
      </rPr>
      <t xml:space="preserve">원본 런타임이 전제하는 코덱</t>
    </r>
    <r>
      <rPr>
        <sz val="10"/>
        <rFont val="Arial"/>
        <family val="0"/>
        <charset val="1"/>
      </rPr>
      <t xml:space="preserve">. HAT</t>
    </r>
    <r>
      <rPr>
        <sz val="10"/>
        <rFont val="Noto Sans CJK SC"/>
        <family val="2"/>
      </rPr>
      <t xml:space="preserve">에 실장 </t>
    </r>
    <r>
      <rPr>
        <sz val="10"/>
        <rFont val="Arial"/>
        <family val="0"/>
        <charset val="1"/>
      </rPr>
      <t xml:space="preserve">(QFN </t>
    </r>
    <r>
      <rPr>
        <sz val="10"/>
        <rFont val="Noto Sans CJK SC"/>
        <family val="2"/>
      </rPr>
      <t xml:space="preserve">납땜 또는 </t>
    </r>
    <r>
      <rPr>
        <sz val="10"/>
        <rFont val="Arial"/>
        <family val="0"/>
        <charset val="1"/>
      </rPr>
      <t xml:space="preserve">JLCPCB </t>
    </r>
    <r>
      <rPr>
        <sz val="10"/>
        <rFont val="Noto Sans CJK SC"/>
        <family val="2"/>
      </rPr>
      <t xml:space="preserve">조립</t>
    </r>
    <r>
      <rPr>
        <sz val="10"/>
        <rFont val="Arial"/>
        <family val="0"/>
        <charset val="1"/>
      </rPr>
      <t xml:space="preserve">)</t>
    </r>
  </si>
  <si>
    <t xml:space="preserve">스피커</t>
  </si>
  <si>
    <t xml:space="preserve">35×25×7 mm 8Ω 1W</t>
  </si>
  <si>
    <t xml:space="preserve">https://search.shopping.naver.com/search/all?query=%EC%86%8C%ED%98%95+%EC%8A%A4%ED%94%BC%EC%BB%A4+8%EC%98%B4+1W+3525&amp;sort=price_asc</t>
  </si>
  <si>
    <t xml:space="preserve">원본 메시 치수</t>
  </si>
  <si>
    <t xml:space="preserve">마이크</t>
  </si>
  <si>
    <r>
      <rPr>
        <sz val="10"/>
        <rFont val="Arial"/>
        <family val="0"/>
        <charset val="1"/>
      </rPr>
      <t xml:space="preserve">MEMS </t>
    </r>
    <r>
      <rPr>
        <sz val="10"/>
        <rFont val="Noto Sans CJK SC"/>
        <family val="2"/>
      </rPr>
      <t xml:space="preserve">마이크 모듈</t>
    </r>
  </si>
  <si>
    <t xml:space="preserve">https://search.shopping.naver.com/search/all?query=MEMS+%EB%A7%88%EC%9D%B4%ED%81%AC+%EB%AA%A8%EB%93%88&amp;sort=price_asc</t>
  </si>
  <si>
    <r>
      <rPr>
        <sz val="10"/>
        <rFont val="Noto Sans CJK SC"/>
        <family val="2"/>
      </rPr>
      <t xml:space="preserve">배터리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충전기</t>
    </r>
  </si>
  <si>
    <r>
      <rPr>
        <sz val="10"/>
        <rFont val="Arial"/>
        <family val="0"/>
        <charset val="1"/>
      </rPr>
      <t xml:space="preserve">NP-F550 </t>
    </r>
    <r>
      <rPr>
        <sz val="10"/>
        <rFont val="Noto Sans CJK SC"/>
        <family val="2"/>
      </rPr>
      <t xml:space="preserve">호환 </t>
    </r>
    <r>
      <rPr>
        <sz val="10"/>
        <rFont val="Arial"/>
        <family val="0"/>
        <charset val="1"/>
      </rPr>
      <t xml:space="preserve">2S 7.2V </t>
    </r>
    <r>
      <rPr>
        <sz val="10"/>
        <rFont val="Noto Sans CJK SC"/>
        <family val="2"/>
      </rPr>
      <t xml:space="preserve">배터리 </t>
    </r>
    <r>
      <rPr>
        <sz val="10"/>
        <rFont val="Arial"/>
        <family val="0"/>
        <charset val="1"/>
      </rPr>
      <t xml:space="preserve">+ USB </t>
    </r>
    <r>
      <rPr>
        <sz val="10"/>
        <rFont val="Noto Sans CJK SC"/>
        <family val="2"/>
      </rPr>
      <t xml:space="preserve">충전기 세트</t>
    </r>
  </si>
  <si>
    <t xml:space="preserve">https://search.shopping.naver.com/search/all?query=NP-F550+%ED%98%B8%ED%99%98+%EB%B0%B0%ED%84%B0%EB%A6%AC+%EC%B6%A9%EC%A0%84%EA%B8%B0+%EC%84%B8%ED%8A%B8&amp;sort=price_asc</t>
  </si>
  <si>
    <r>
      <rPr>
        <sz val="10"/>
        <rFont val="Arial"/>
        <family val="0"/>
        <charset val="1"/>
      </rPr>
      <t xml:space="preserve">NEEWER 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충전기 ₩</t>
    </r>
    <r>
      <rPr>
        <sz val="10"/>
        <rFont val="Arial"/>
        <family val="0"/>
        <charset val="1"/>
      </rPr>
      <t xml:space="preserve">163,000(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): https://kr.neewer.com/products/neewer-4-packs-7-4v-2600mah-np-f550-replacement-batteries-66601510</t>
    </r>
  </si>
  <si>
    <r>
      <rPr>
        <sz val="10"/>
        <rFont val="Noto Sans CJK SC"/>
        <family val="2"/>
      </rPr>
      <t xml:space="preserve">서보에 직결</t>
    </r>
    <r>
      <rPr>
        <sz val="10"/>
        <rFont val="Arial"/>
        <family val="0"/>
        <charset val="1"/>
      </rPr>
      <t xml:space="preserve">(6.6–8.2 V).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 동작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오리지널 예비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배터리 세트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추가</t>
    </r>
  </si>
  <si>
    <t xml:space="preserve">배터리 플레이트</t>
  </si>
  <si>
    <r>
      <rPr>
        <sz val="10"/>
        <rFont val="Arial"/>
        <family val="0"/>
        <charset val="1"/>
      </rPr>
      <t xml:space="preserve">NP-F </t>
    </r>
    <r>
      <rPr>
        <sz val="10"/>
        <rFont val="Noto Sans CJK SC"/>
        <family val="2"/>
      </rPr>
      <t xml:space="preserve">배터리 홀더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리드선</t>
    </r>
    <r>
      <rPr>
        <sz val="10"/>
        <rFont val="Arial"/>
        <family val="0"/>
        <charset val="1"/>
      </rPr>
      <t xml:space="preserve">)</t>
    </r>
  </si>
  <si>
    <t xml:space="preserve">https://www.aliexpress.com/w/wholesale-NP-F-battery-plate-holder.html?SortType=price_asc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</si>
  <si>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https://search.shopping.naver.com/search/all?query=NP-F+%EB%B0%B0%ED%84%B0%EB%A6%AC+%ED%94%8C%EB%A0%88%EC%9D%B4%ED%8A%B8&amp;sort=price_asc</t>
    </r>
  </si>
  <si>
    <r>
      <rPr>
        <sz val="10"/>
        <rFont val="Noto Sans CJK SC"/>
        <family val="2"/>
      </rPr>
      <t xml:space="preserve">출력물 </t>
    </r>
    <r>
      <rPr>
        <sz val="10"/>
        <rFont val="Arial"/>
        <family val="0"/>
        <charset val="1"/>
      </rPr>
      <t xml:space="preserve">power_support</t>
    </r>
    <r>
      <rPr>
        <sz val="10"/>
        <rFont val="Noto Sans CJK SC"/>
        <family val="2"/>
      </rPr>
      <t xml:space="preserve">에 고정</t>
    </r>
  </si>
  <si>
    <r>
      <rPr>
        <sz val="10"/>
        <rFont val="Arial"/>
        <family val="0"/>
        <charset val="1"/>
      </rPr>
      <t xml:space="preserve">5V </t>
    </r>
    <r>
      <rPr>
        <sz val="10"/>
        <rFont val="Noto Sans CJK SC"/>
        <family val="2"/>
      </rPr>
      <t xml:space="preserve">강압 모듈</t>
    </r>
  </si>
  <si>
    <t xml:space="preserve">MP1584EN 3A</t>
  </si>
  <si>
    <t xml:space="preserve">https://search.shopping.naver.com/search/all?query=MP1584EN+%EA%B0%95%EC%95%95+%EB%AA%A8%EB%93%88&amp;sort=price_asc</t>
  </si>
  <si>
    <r>
      <rPr>
        <sz val="10"/>
        <rFont val="Arial"/>
        <family val="0"/>
        <charset val="1"/>
      </rPr>
      <t xml:space="preserve">SBC·</t>
    </r>
    <r>
      <rPr>
        <sz val="10"/>
        <rFont val="Noto Sans CJK SC"/>
        <family val="2"/>
      </rPr>
      <t xml:space="preserve">센서용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출력 </t>
    </r>
    <r>
      <rPr>
        <sz val="10"/>
        <rFont val="Arial"/>
        <family val="0"/>
        <charset val="1"/>
      </rPr>
      <t xml:space="preserve">5.1V</t>
    </r>
    <r>
      <rPr>
        <sz val="10"/>
        <rFont val="Noto Sans CJK SC"/>
        <family val="2"/>
      </rPr>
      <t xml:space="preserve">로 조정 후 연결</t>
    </r>
  </si>
  <si>
    <t xml:space="preserve">전원 스위치</t>
  </si>
  <si>
    <r>
      <rPr>
        <sz val="10"/>
        <rFont val="Noto Sans CJK SC"/>
        <family val="2"/>
      </rPr>
      <t xml:space="preserve">슬라이드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로커 스위치 </t>
    </r>
    <r>
      <rPr>
        <sz val="10"/>
        <rFont val="Arial"/>
        <family val="0"/>
        <charset val="1"/>
      </rPr>
      <t xml:space="preserve">5 A </t>
    </r>
    <r>
      <rPr>
        <sz val="10"/>
        <rFont val="Noto Sans CJK SC"/>
        <family val="2"/>
      </rPr>
      <t xml:space="preserve">이상</t>
    </r>
  </si>
  <si>
    <t xml:space="preserve">https://search.shopping.naver.com/search/all?query=%EB%AF%B8%EB%8B%88+%EB%A1%9C%EC%BB%A4%EC%8A%A4%EC%9C%84%EC%B9%98+5A&amp;sort=price_asc</t>
  </si>
  <si>
    <t xml:space="preserve">퓨즈</t>
  </si>
  <si>
    <r>
      <rPr>
        <sz val="10"/>
        <rFont val="Noto Sans CJK SC"/>
        <family val="2"/>
      </rPr>
      <t xml:space="preserve">미니 블레이드 퓨즈 </t>
    </r>
    <r>
      <rPr>
        <sz val="10"/>
        <rFont val="Arial"/>
        <family val="0"/>
        <charset val="1"/>
      </rPr>
      <t xml:space="preserve">5A + </t>
    </r>
    <r>
      <rPr>
        <sz val="10"/>
        <rFont val="Noto Sans CJK SC"/>
        <family val="2"/>
      </rPr>
      <t xml:space="preserve">홀더</t>
    </r>
  </si>
  <si>
    <t xml:space="preserve">https://search.shopping.naver.com/search/all?query=%EB%AF%B8%EB%8B%88+%EB%B8%94%EB%A0%88%EC%9D%B4%EB%93%9C+%ED%93%A8%EC%A6%88+%ED%99%80%EB%8D%94&amp;sort=price_asc</t>
  </si>
  <si>
    <t xml:space="preserve">서보 버스 단락 보호</t>
  </si>
  <si>
    <t xml:space="preserve">커넥터</t>
  </si>
  <si>
    <r>
      <rPr>
        <sz val="10"/>
        <rFont val="Arial"/>
        <family val="0"/>
        <charset val="1"/>
      </rPr>
      <t xml:space="preserve">XT30 </t>
    </r>
    <r>
      <rPr>
        <sz val="10"/>
        <rFont val="Noto Sans CJK SC"/>
        <family val="2"/>
      </rPr>
      <t xml:space="preserve">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 세트</t>
    </r>
  </si>
  <si>
    <t xml:space="preserve">https://www.aliexpress.com/w/wholesale-XT30-connector.html?SortType=price_asc</t>
  </si>
  <si>
    <t xml:space="preserve">저렴한 버전은 배터리 플레이트 리드선 직결</t>
  </si>
  <si>
    <r>
      <rPr>
        <sz val="10"/>
        <rFont val="Noto Sans CJK SC"/>
        <family val="2"/>
      </rPr>
      <t xml:space="preserve">반이중 버퍼 </t>
    </r>
    <r>
      <rPr>
        <sz val="10"/>
        <rFont val="Arial"/>
        <family val="0"/>
        <charset val="1"/>
      </rPr>
      <t xml:space="preserve">IC</t>
    </r>
  </si>
  <si>
    <t xml:space="preserve">SN74LVC2G241DCUR</t>
  </si>
  <si>
    <t xml:space="preserve">https://www.lcsc.com/search?q=SN74LVC2G241</t>
  </si>
  <si>
    <r>
      <rPr>
        <sz val="10"/>
        <rFont val="Arial"/>
        <family val="0"/>
        <charset val="1"/>
      </rPr>
      <t xml:space="preserve">ROBOTIS </t>
    </r>
    <r>
      <rPr>
        <sz val="10"/>
        <rFont val="Noto Sans CJK SC"/>
        <family val="2"/>
      </rPr>
      <t xml:space="preserve">레퍼런스 반이중 회로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단계는 변환기판에 납땜</t>
    </r>
  </si>
  <si>
    <r>
      <rPr>
        <sz val="10"/>
        <rFont val="Noto Sans CJK SC"/>
        <family val="2"/>
      </rPr>
      <t xml:space="preserve">자작 </t>
    </r>
    <r>
      <rPr>
        <sz val="10"/>
        <rFont val="Arial"/>
        <family val="0"/>
        <charset val="1"/>
      </rPr>
      <t xml:space="preserve">HAT PCB</t>
    </r>
  </si>
  <si>
    <r>
      <rPr>
        <sz val="10"/>
        <rFont val="Arial"/>
        <family val="0"/>
        <charset val="1"/>
      </rPr>
      <t xml:space="preserve">65×30 mm 2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PCB 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배송 포함</t>
    </r>
    <r>
      <rPr>
        <sz val="10"/>
        <rFont val="Arial"/>
        <family val="0"/>
        <charset val="1"/>
      </rPr>
      <t xml:space="preserve">)</t>
    </r>
  </si>
  <si>
    <t xml:space="preserve">JLCPCB</t>
  </si>
  <si>
    <t xml:space="preserve">https://jlcpcb.com/</t>
  </si>
  <si>
    <t xml:space="preserve">사이트</t>
  </si>
  <si>
    <r>
      <rPr>
        <sz val="10"/>
        <rFont val="Arial"/>
        <family val="0"/>
        <charset val="1"/>
      </rPr>
      <t xml:space="preserve">LCSC </t>
    </r>
    <r>
      <rPr>
        <sz val="10"/>
        <rFont val="Noto Sans CJK SC"/>
        <family val="2"/>
      </rPr>
      <t xml:space="preserve">부품과 함께 주문하면 배송 합산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저렴한 버전은 만능기판으로 대체 가능</t>
    </r>
  </si>
  <si>
    <t xml:space="preserve">다이나믹셀 커넥터</t>
  </si>
  <si>
    <r>
      <rPr>
        <sz val="10"/>
        <rFont val="Arial"/>
        <family val="0"/>
        <charset val="1"/>
      </rPr>
      <t xml:space="preserve">JST EH 3</t>
    </r>
    <r>
      <rPr>
        <sz val="10"/>
        <rFont val="Noto Sans CJK SC"/>
        <family val="2"/>
      </rPr>
      <t xml:space="preserve">핀 헤더 </t>
    </r>
    <r>
      <rPr>
        <sz val="10"/>
        <rFont val="Arial"/>
        <family val="0"/>
        <charset val="1"/>
      </rPr>
      <t xml:space="preserve">(B3B-EH-A)</t>
    </r>
  </si>
  <si>
    <t xml:space="preserve">https://www.aliexpress.com/w/wholesale-JST-EH-2.5mm-3pin-header.html?SortType=price_asc</t>
  </si>
  <si>
    <t xml:space="preserve">보통 수십 개 묶음</t>
  </si>
  <si>
    <r>
      <rPr>
        <sz val="10"/>
        <rFont val="Noto Sans CJK SC"/>
        <family val="2"/>
      </rPr>
      <t xml:space="preserve">볼베어링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</si>
  <si>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16×22×4 mm (SMR2216ZZ)</t>
  </si>
  <si>
    <t xml:space="preserve">https://www.aliexpress.com/w/wholesale-16x22x4-bearing.html?SortType=price_asc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</si>
  <si>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https://search.shopping.naver.com/search/all?query=16x22x4+%EB%B2%A0%EC%96%B4%EB%A7%81&amp;sort=price_asc</t>
    </r>
  </si>
  <si>
    <r>
      <rPr>
        <sz val="10"/>
        <rFont val="Arial"/>
        <family val="0"/>
        <charset val="1"/>
      </rPr>
      <t xml:space="preserve">MJCF </t>
    </r>
    <r>
      <rPr>
        <sz val="10"/>
        <rFont val="Noto Sans CJK SC"/>
        <family val="2"/>
      </rPr>
      <t xml:space="preserve">실측</t>
    </r>
    <r>
      <rPr>
        <sz val="10"/>
        <rFont val="Arial"/>
        <family val="0"/>
        <charset val="1"/>
      </rPr>
      <t xml:space="preserve">. 10</t>
    </r>
    <r>
      <rPr>
        <sz val="10"/>
        <rFont val="Noto Sans CJK SC"/>
        <family val="2"/>
      </rPr>
      <t xml:space="preserve">개 묶음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</si>
  <si>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볼베어링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</t>
    </r>
    <r>
      <rPr>
        <sz val="10"/>
        <rFont val="Arial"/>
        <family val="0"/>
        <charset val="1"/>
      </rPr>
      <t xml:space="preserve">)</t>
    </r>
  </si>
  <si>
    <t xml:space="preserve">10×15×3 mm</t>
  </si>
  <si>
    <t xml:space="preserve">https://www.aliexpress.com/w/wholesale-10x15x3-bearing.html?SortType=price_asc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</si>
  <si>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https://search.shopping.naver.com/search/all?query=10x15x3+%EB%B2%A0%EC%96%B4%EB%A7%81&amp;sort=price_asc</t>
    </r>
  </si>
  <si>
    <r>
      <rPr>
        <sz val="10"/>
        <rFont val="Arial"/>
        <family val="0"/>
        <charset val="1"/>
      </rPr>
      <t xml:space="preserve">MJCF </t>
    </r>
    <r>
      <rPr>
        <sz val="10"/>
        <rFont val="Noto Sans CJK SC"/>
        <family val="2"/>
      </rPr>
      <t xml:space="preserve">실측</t>
    </r>
  </si>
  <si>
    <t xml:space="preserve">볼트 키트</t>
  </si>
  <si>
    <r>
      <rPr>
        <sz val="10"/>
        <rFont val="Arial"/>
        <family val="0"/>
        <charset val="1"/>
      </rPr>
      <t xml:space="preserve">M2/M2.5/M3 </t>
    </r>
    <r>
      <rPr>
        <sz val="10"/>
        <rFont val="Noto Sans CJK SC"/>
        <family val="2"/>
      </rPr>
      <t xml:space="preserve">볼트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너트 키트</t>
    </r>
  </si>
  <si>
    <t xml:space="preserve">https://www.aliexpress.com/w/wholesale-M2-M2.5-M3-screw-kit.html?SortType=price_asc</t>
  </si>
  <si>
    <r>
      <rPr>
        <sz val="10"/>
        <rFont val="Noto Sans CJK SC"/>
        <family val="2"/>
      </rPr>
      <t xml:space="preserve">보유 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서보 체결은 동봉 </t>
    </r>
    <r>
      <rPr>
        <sz val="10"/>
        <rFont val="Arial"/>
        <family val="0"/>
        <charset val="1"/>
      </rPr>
      <t xml:space="preserve">M2 </t>
    </r>
    <r>
      <rPr>
        <sz val="10"/>
        <rFont val="Noto Sans CJK SC"/>
        <family val="2"/>
      </rPr>
      <t xml:space="preserve">탭볼트</t>
    </r>
  </si>
  <si>
    <t xml:space="preserve">인서트 너트</t>
  </si>
  <si>
    <r>
      <rPr>
        <sz val="10"/>
        <rFont val="Arial"/>
        <family val="0"/>
        <charset val="1"/>
      </rPr>
      <t xml:space="preserve">M2/M2.5 </t>
    </r>
    <r>
      <rPr>
        <sz val="10"/>
        <rFont val="Noto Sans CJK SC"/>
        <family val="2"/>
      </rPr>
      <t xml:space="preserve">열압착 인서트</t>
    </r>
  </si>
  <si>
    <t xml:space="preserve">https://www.aliexpress.com/w/wholesale-M2-heat-set-insert.html?SortType=price_asc</t>
  </si>
  <si>
    <t xml:space="preserve">저렴한 버전은 탭볼트 직결</t>
  </si>
  <si>
    <r>
      <rPr>
        <sz val="10"/>
        <rFont val="Noto Sans CJK SC"/>
        <family val="2"/>
      </rPr>
      <t xml:space="preserve">판재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</si>
  <si>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레이저 가공</t>
    </r>
    <r>
      <rPr>
        <sz val="10"/>
        <rFont val="Arial"/>
        <family val="0"/>
        <charset val="1"/>
      </rPr>
      <t xml:space="preserve">: 1 mm ×5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보강판</t>
    </r>
    <r>
      <rPr>
        <sz val="10"/>
        <rFont val="Arial"/>
        <family val="0"/>
        <charset val="1"/>
      </rPr>
      <t xml:space="preserve">2·</t>
    </r>
    <r>
      <rPr>
        <sz val="10"/>
        <rFont val="Noto Sans CJK SC"/>
        <family val="2"/>
      </rPr>
      <t xml:space="preserve">몸통판</t>
    </r>
    <r>
      <rPr>
        <sz val="10"/>
        <rFont val="Arial"/>
        <family val="0"/>
        <charset val="1"/>
      </rPr>
      <t xml:space="preserve">1·</t>
    </r>
    <r>
      <rPr>
        <sz val="10"/>
        <rFont val="Noto Sans CJK SC"/>
        <family val="2"/>
      </rPr>
      <t xml:space="preserve">롤판</t>
    </r>
    <r>
      <rPr>
        <sz val="10"/>
        <rFont val="Arial"/>
        <family val="0"/>
        <charset val="1"/>
      </rPr>
      <t xml:space="preserve">2) + 2 mm ×2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목판</t>
    </r>
    <r>
      <rPr>
        <sz val="10"/>
        <rFont val="Arial"/>
        <family val="0"/>
        <charset val="1"/>
      </rPr>
      <t xml:space="preserve">)</t>
    </r>
  </si>
  <si>
    <t xml:space="preserve">레이저 가공 업체</t>
  </si>
  <si>
    <t xml:space="preserve">https://search.shopping.naver.com/search/all?query=%EC%95%8C%EB%A3%A8%EB%AF%B8%EB%8A%84+%EB%A0%88%EC%9D%B4%EC%A0%80+%EA%B0%80%EA%B3%B5+%EC%86%8C%EB%9F%89&amp;sort=price_asc</t>
  </si>
  <si>
    <r>
      <rPr>
        <sz val="10"/>
        <rFont val="Arial"/>
        <family val="0"/>
        <charset val="1"/>
      </rPr>
      <t xml:space="preserve">JLCCNC </t>
    </r>
    <r>
      <rPr>
        <sz val="10"/>
        <rFont val="Noto Sans CJK SC"/>
        <family val="2"/>
      </rPr>
      <t xml:space="preserve">판금</t>
    </r>
    <r>
      <rPr>
        <sz val="10"/>
        <rFont val="Arial"/>
        <family val="0"/>
        <charset val="1"/>
      </rPr>
      <t xml:space="preserve">: https://jlccnc.com/ / PCBWay: https://www.pcbway.com/</t>
    </r>
  </si>
  <si>
    <r>
      <rPr>
        <sz val="10"/>
        <rFont val="Arial"/>
        <family val="0"/>
        <charset val="1"/>
      </rPr>
      <t xml:space="preserve">DXF: cad/plates/dynamixel. </t>
    </r>
    <r>
      <rPr>
        <sz val="10"/>
        <rFont val="Noto Sans CJK SC"/>
        <family val="2"/>
      </rPr>
      <t xml:space="preserve">소량 최소주문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배송비 때문에 견적 편차 큼 — 견적 받아 수정</t>
    </r>
  </si>
  <si>
    <t xml:space="preserve">경질 필라멘트</t>
  </si>
  <si>
    <t xml:space="preserve">PETG 1 kg</t>
  </si>
  <si>
    <t xml:space="preserve">https://search.shopping.naver.com/search/all?query=PETG+%ED%95%84%EB%9D%BC%EB%A9%98%ED%8A%B8+1kg&amp;sort=price_asc</t>
  </si>
  <si>
    <r>
      <rPr>
        <sz val="10"/>
        <rFont val="Noto Sans CJK SC"/>
        <family val="2"/>
      </rPr>
      <t xml:space="preserve">보유 재고 있으면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실부피 약 </t>
    </r>
    <r>
      <rPr>
        <sz val="10"/>
        <rFont val="Arial"/>
        <family val="0"/>
        <charset val="1"/>
      </rPr>
      <t xml:space="preserve">207 cm³</t>
    </r>
  </si>
  <si>
    <t xml:space="preserve">연질 필라멘트</t>
  </si>
  <si>
    <t xml:space="preserve">TPU 95A 0.5–1 kg</t>
  </si>
  <si>
    <t xml:space="preserve">https://search.shopping.naver.com/search/all?query=TPU+95A+%ED%95%84%EB%9D%BC%EB%A9%98%ED%8A%B8&amp;sort=price_asc</t>
  </si>
  <si>
    <r>
      <rPr>
        <sz val="10"/>
        <rFont val="Noto Sans CJK SC"/>
        <family val="2"/>
      </rPr>
      <t xml:space="preserve">발바닥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부리 연질부 약 </t>
    </r>
    <r>
      <rPr>
        <sz val="10"/>
        <rFont val="Arial"/>
        <family val="0"/>
        <charset val="1"/>
      </rPr>
      <t xml:space="preserve">34 cm³</t>
    </r>
  </si>
  <si>
    <t xml:space="preserve">게임패드</t>
  </si>
  <si>
    <r>
      <rPr>
        <sz val="10"/>
        <rFont val="Arial"/>
        <family val="0"/>
        <charset val="1"/>
      </rPr>
      <t xml:space="preserve">Xbox </t>
    </r>
    <r>
      <rPr>
        <sz val="10"/>
        <rFont val="Noto Sans CJK SC"/>
        <family val="2"/>
      </rPr>
      <t xml:space="preserve">무선 컨트롤러</t>
    </r>
  </si>
  <si>
    <t xml:space="preserve">https://search.shopping.naver.com/search/all?query=Xbox+%EB%AC%B4%EC%84%A0+%EC%BB%A8%ED%8A%B8%EB%A1%A4%EB%9F%AC&amp;sort=price_asc</t>
  </si>
  <si>
    <r>
      <rPr>
        <sz val="10"/>
        <rFont val="Noto Sans CJK SC"/>
        <family val="2"/>
      </rPr>
      <t xml:space="preserve">원본 기본 조종기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저렴한 버전은 노트북 </t>
    </r>
    <r>
      <rPr>
        <sz val="10"/>
        <rFont val="Arial"/>
        <family val="0"/>
        <charset val="1"/>
      </rPr>
      <t xml:space="preserve">UDP </t>
    </r>
    <r>
      <rPr>
        <sz val="10"/>
        <rFont val="Noto Sans CJK SC"/>
        <family val="2"/>
      </rPr>
      <t xml:space="preserve">패드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런타임 지원</t>
    </r>
    <r>
      <rPr>
        <sz val="10"/>
        <rFont val="Arial"/>
        <family val="0"/>
        <charset val="1"/>
      </rPr>
      <t xml:space="preserve">)</t>
    </r>
  </si>
  <si>
    <t xml:space="preserve">서보 비중</t>
  </si>
  <si>
    <r>
      <rPr>
        <b val="true"/>
        <sz val="14"/>
        <rFont val="Arial"/>
        <family val="0"/>
        <charset val="1"/>
      </rPr>
      <t xml:space="preserve">Microduck </t>
    </r>
    <r>
      <rPr>
        <b val="true"/>
        <sz val="14"/>
        <rFont val="Noto Sans CJK SC"/>
        <family val="2"/>
      </rPr>
      <t xml:space="preserve">클론 </t>
    </r>
    <r>
      <rPr>
        <b val="true"/>
        <sz val="14"/>
        <rFont val="Arial"/>
        <family val="0"/>
        <charset val="1"/>
      </rPr>
      <t xml:space="preserve">BOM — </t>
    </r>
    <r>
      <rPr>
        <b val="true"/>
        <sz val="14"/>
        <rFont val="Noto Sans CJK SC"/>
        <family val="2"/>
      </rPr>
      <t xml:space="preserve">저렴한 버전</t>
    </r>
  </si>
  <si>
    <r>
      <rPr>
        <i val="true"/>
        <sz val="9"/>
        <rFont val="Noto Sans CJK SC"/>
        <family val="2"/>
      </rPr>
      <t xml:space="preserve">다이나믹셀 </t>
    </r>
    <r>
      <rPr>
        <i val="true"/>
        <sz val="9"/>
        <rFont val="Arial"/>
        <family val="0"/>
        <charset val="1"/>
      </rPr>
      <t xml:space="preserve">· </t>
    </r>
    <r>
      <rPr>
        <i val="true"/>
        <sz val="9"/>
        <rFont val="Noto Sans CJK SC"/>
        <family val="2"/>
      </rPr>
      <t xml:space="preserve">걷기에 필요한 것만</t>
    </r>
    <r>
      <rPr>
        <i val="true"/>
        <sz val="9"/>
        <rFont val="Arial"/>
        <family val="0"/>
        <charset val="1"/>
      </rPr>
      <t xml:space="preserve">: 14</t>
    </r>
    <r>
      <rPr>
        <i val="true"/>
        <sz val="9"/>
        <rFont val="Noto Sans CJK SC"/>
        <family val="2"/>
      </rPr>
      <t xml:space="preserve">축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부리 고정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센서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오디오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게임패드 제외</t>
    </r>
    <r>
      <rPr>
        <i val="true"/>
        <sz val="9"/>
        <rFont val="Arial"/>
        <family val="0"/>
        <charset val="1"/>
      </rPr>
      <t xml:space="preserve">, CP2102</t>
    </r>
    <r>
      <rPr>
        <i val="true"/>
        <sz val="9"/>
        <rFont val="Noto Sans CJK SC"/>
        <family val="2"/>
      </rPr>
      <t xml:space="preserve">로 </t>
    </r>
    <r>
      <rPr>
        <i val="true"/>
        <sz val="9"/>
        <rFont val="Arial"/>
        <family val="0"/>
        <charset val="1"/>
      </rPr>
      <t xml:space="preserve">U2D2 </t>
    </r>
    <r>
      <rPr>
        <i val="true"/>
        <sz val="9"/>
        <rFont val="Noto Sans CJK SC"/>
        <family val="2"/>
      </rPr>
      <t xml:space="preserve">대체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예비 없음</t>
    </r>
    <r>
      <rPr>
        <i val="true"/>
        <sz val="9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</si>
  <si>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USB-TTL </t>
    </r>
    <r>
      <rPr>
        <sz val="10"/>
        <rFont val="Noto Sans CJK SC"/>
        <family val="2"/>
      </rPr>
      <t xml:space="preserve">변환기 </t>
    </r>
    <r>
      <rPr>
        <sz val="10"/>
        <rFont val="Arial"/>
        <family val="0"/>
        <charset val="1"/>
      </rPr>
      <t xml:space="preserve">(U2D2 </t>
    </r>
    <r>
      <rPr>
        <sz val="10"/>
        <rFont val="Noto Sans CJK SC"/>
        <family val="2"/>
      </rPr>
      <t xml:space="preserve">대용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</si>
  <si>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CP2102 </t>
    </r>
    <r>
      <rPr>
        <sz val="10"/>
        <rFont val="Noto Sans CJK SC"/>
        <family val="2"/>
      </rPr>
      <t xml:space="preserve">모듈 </t>
    </r>
    <r>
      <rPr>
        <sz val="10"/>
        <rFont val="Arial"/>
        <family val="0"/>
        <charset val="1"/>
      </rPr>
      <t xml:space="preserve">3.3V</t>
    </r>
  </si>
  <si>
    <t xml:space="preserve">https://search.shopping.naver.com/search/all?query=CP2102+USB+TTL+%EB%AA%A8%EB%93%88&amp;sort=price_asc</t>
  </si>
  <si>
    <r>
      <rPr>
        <sz val="10"/>
        <rFont val="Arial"/>
        <family val="0"/>
        <charset val="1"/>
      </rPr>
      <t xml:space="preserve">SN74LVC2G241 </t>
    </r>
    <r>
      <rPr>
        <sz val="10"/>
        <rFont val="Noto Sans CJK SC"/>
        <family val="2"/>
      </rPr>
      <t xml:space="preserve">반이중 회로와 함께 서보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설정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벤치 테스트</t>
    </r>
  </si>
  <si>
    <t xml:space="preserve">microSD</t>
  </si>
  <si>
    <r>
      <rPr>
        <sz val="10"/>
        <rFont val="Arial"/>
        <family val="0"/>
        <charset val="1"/>
      </rPr>
      <t xml:space="preserve">32GB A1 (eMMC </t>
    </r>
    <r>
      <rPr>
        <sz val="10"/>
        <rFont val="Noto Sans CJK SC"/>
        <family val="2"/>
      </rPr>
      <t xml:space="preserve">없는 보드일 때만</t>
    </r>
    <r>
      <rPr>
        <sz val="10"/>
        <rFont val="Arial"/>
        <family val="0"/>
        <charset val="1"/>
      </rPr>
      <t xml:space="preserve">)</t>
    </r>
  </si>
  <si>
    <t xml:space="preserve">https://search.shopping.naver.com/search/all?query=microSD+32GB+A1&amp;sort=price_asc</t>
  </si>
  <si>
    <r>
      <rPr>
        <sz val="10"/>
        <rFont val="Arial"/>
        <family val="0"/>
        <charset val="1"/>
      </rPr>
      <t xml:space="preserve">eMMC </t>
    </r>
    <r>
      <rPr>
        <sz val="10"/>
        <rFont val="Noto Sans CJK SC"/>
        <family val="2"/>
      </rPr>
      <t xml:space="preserve">없는 저가 보드 선택 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보유 중이면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</si>
  <si>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판재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(FR4 </t>
    </r>
    <r>
      <rPr>
        <sz val="10"/>
        <rFont val="Noto Sans CJK SC"/>
        <family val="2"/>
      </rPr>
      <t xml:space="preserve">대체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</si>
  <si>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PCB </t>
    </r>
    <r>
      <rPr>
        <sz val="10"/>
        <rFont val="Noto Sans CJK SC"/>
        <family val="2"/>
      </rPr>
      <t xml:space="preserve">업체 </t>
    </r>
    <r>
      <rPr>
        <sz val="10"/>
        <rFont val="Arial"/>
        <family val="0"/>
        <charset val="1"/>
      </rPr>
      <t xml:space="preserve">FR4 1.0 mm </t>
    </r>
    <r>
      <rPr>
        <sz val="10"/>
        <rFont val="Noto Sans CJK SC"/>
        <family val="2"/>
      </rPr>
      <t xml:space="preserve">외곽 가공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보강판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몸통판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롤판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목판은 출력</t>
    </r>
  </si>
  <si>
    <r>
      <rPr>
        <sz val="10"/>
        <rFont val="Arial"/>
        <family val="0"/>
        <charset val="1"/>
      </rPr>
      <t xml:space="preserve">HAT PCB</t>
    </r>
    <r>
      <rPr>
        <sz val="10"/>
        <rFont val="Noto Sans CJK SC"/>
        <family val="2"/>
      </rPr>
      <t xml:space="preserve">와 같이 주문하면 배송비 합산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알루미늄보다 강성 낮지만 출력물보다 훨씬 단단</t>
    </r>
  </si>
  <si>
    <r>
      <rPr>
        <b val="true"/>
        <sz val="14"/>
        <rFont val="Arial"/>
        <family val="0"/>
        <charset val="1"/>
      </rPr>
      <t xml:space="preserve">Microduck </t>
    </r>
    <r>
      <rPr>
        <b val="true"/>
        <sz val="14"/>
        <rFont val="Noto Sans CJK SC"/>
        <family val="2"/>
      </rPr>
      <t xml:space="preserve">클론 </t>
    </r>
    <r>
      <rPr>
        <b val="true"/>
        <sz val="14"/>
        <rFont val="Arial"/>
        <family val="0"/>
        <charset val="1"/>
      </rPr>
      <t xml:space="preserve">BOM — </t>
    </r>
    <r>
      <rPr>
        <b val="true"/>
        <sz val="14"/>
        <rFont val="Noto Sans CJK SC"/>
        <family val="2"/>
      </rPr>
      <t xml:space="preserve">일반 서보 버전</t>
    </r>
  </si>
  <si>
    <r>
      <rPr>
        <i val="true"/>
        <sz val="9"/>
        <rFont val="Arial"/>
        <family val="0"/>
        <charset val="1"/>
      </rPr>
      <t xml:space="preserve">MG996R ×11 + MG90S ×4, 1.5</t>
    </r>
    <r>
      <rPr>
        <i val="true"/>
        <sz val="9"/>
        <rFont val="Noto Sans CJK SC"/>
        <family val="2"/>
      </rPr>
      <t xml:space="preserve">배 확대</t>
    </r>
    <r>
      <rPr>
        <i val="true"/>
        <sz val="9"/>
        <rFont val="Arial"/>
        <family val="0"/>
        <charset val="1"/>
      </rPr>
      <t xml:space="preserve">, Raspberry Pi + PCA9685 + ADS1115 </t>
    </r>
    <r>
      <rPr>
        <i val="true"/>
        <sz val="9"/>
        <rFont val="Noto Sans CJK SC"/>
        <family val="2"/>
      </rPr>
      <t xml:space="preserve">위치 피드백 개조</t>
    </r>
    <r>
      <rPr>
        <i val="true"/>
        <sz val="9"/>
        <rFont val="Arial"/>
        <family val="0"/>
        <charset val="1"/>
      </rPr>
      <t xml:space="preserve">. plan-hobby-servo.md </t>
    </r>
    <r>
      <rPr>
        <i val="true"/>
        <sz val="9"/>
        <rFont val="Noto Sans CJK SC"/>
        <family val="2"/>
      </rPr>
      <t xml:space="preserve">참고</t>
    </r>
    <r>
      <rPr>
        <i val="true"/>
        <sz val="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</si>
  <si>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서보</t>
    </r>
  </si>
  <si>
    <r>
      <rPr>
        <sz val="10"/>
        <rFont val="Arial"/>
        <family val="0"/>
        <charset val="1"/>
      </rPr>
      <t xml:space="preserve">MG996R </t>
    </r>
    <r>
      <rPr>
        <sz val="10"/>
        <rFont val="Noto Sans CJK SC"/>
        <family val="2"/>
      </rPr>
      <t xml:space="preserve">메탈기어 </t>
    </r>
    <r>
      <rPr>
        <sz val="10"/>
        <rFont val="Arial"/>
        <family val="0"/>
        <charset val="1"/>
      </rPr>
      <t xml:space="preserve">(TowerPro </t>
    </r>
    <r>
      <rPr>
        <sz val="10"/>
        <rFont val="Noto Sans CJK SC"/>
        <family val="2"/>
      </rPr>
      <t xml:space="preserve">호환</t>
    </r>
    <r>
      <rPr>
        <sz val="10"/>
        <rFont val="Arial"/>
        <family val="0"/>
        <charset val="1"/>
      </rPr>
      <t xml:space="preserve">)</t>
    </r>
  </si>
  <si>
    <t xml:space="preserve">디바이스마트</t>
  </si>
  <si>
    <t xml:space="preserve">https://www.devicemart.co.kr/goods/view?no=1313388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</si>
  <si>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https://search.shopping.naver.com/search/all?query=MG996R+%EC%84%9C%EB%B3%B4%EB%AA%A8%ED%84%B0&amp;sort=price_asc / </t>
    </r>
    <r>
      <rPr>
        <sz val="10"/>
        <rFont val="Noto Sans CJK SC"/>
        <family val="2"/>
      </rPr>
      <t xml:space="preserve">알리</t>
    </r>
    <r>
      <rPr>
        <sz val="10"/>
        <rFont val="Arial"/>
        <family val="0"/>
        <charset val="1"/>
      </rPr>
      <t xml:space="preserve">: https://www.aliexpress.com/w/wholesale-MG996R-servo.html?SortType=price_asc</t>
    </r>
  </si>
  <si>
    <r>
      <rPr>
        <sz val="10"/>
        <rFont val="Noto Sans CJK SC"/>
        <family val="2"/>
      </rPr>
      <t xml:space="preserve">다리 </t>
    </r>
    <r>
      <rPr>
        <sz val="10"/>
        <rFont val="Arial"/>
        <family val="0"/>
        <charset val="1"/>
      </rPr>
      <t xml:space="preserve">10 + neck_pitch 1. 9.4 kgf·cm@4.8V, 11 kgf·cm@6V, 55 g. </t>
    </r>
    <r>
      <rPr>
        <sz val="10"/>
        <rFont val="Noto Sans CJK SC"/>
        <family val="2"/>
      </rPr>
      <t xml:space="preserve">호환품 편차 커서 예비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</si>
  <si>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머리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부리 서보</t>
    </r>
  </si>
  <si>
    <r>
      <rPr>
        <sz val="10"/>
        <rFont val="Arial"/>
        <family val="0"/>
        <charset val="1"/>
      </rPr>
      <t xml:space="preserve">MG90S </t>
    </r>
    <r>
      <rPr>
        <sz val="10"/>
        <rFont val="Noto Sans CJK SC"/>
        <family val="2"/>
      </rPr>
      <t xml:space="preserve">메탈기어</t>
    </r>
  </si>
  <si>
    <t xml:space="preserve">https://search.shopping.naver.com/search/all?query=MG90S+%EC%84%9C%EB%B3%B4%EB%AA%A8%ED%84%B0&amp;sort=price_asc</t>
  </si>
  <si>
    <r>
      <rPr>
        <sz val="10"/>
        <rFont val="Noto Sans CJK SC"/>
        <family val="2"/>
      </rPr>
      <t xml:space="preserve">알리</t>
    </r>
    <r>
      <rPr>
        <sz val="10"/>
        <rFont val="Arial"/>
        <family val="0"/>
        <charset val="1"/>
      </rPr>
      <t xml:space="preserve">: https://www.aliexpress.com/w/wholesale-MG90S-servo.html?SortType=price_asc</t>
    </r>
  </si>
  <si>
    <r>
      <rPr>
        <sz val="10"/>
        <rFont val="Arial"/>
        <family val="0"/>
        <charset val="1"/>
      </rPr>
      <t xml:space="preserve">head_pitch·yaw·roll + </t>
    </r>
    <r>
      <rPr>
        <sz val="10"/>
        <rFont val="Noto Sans CJK SC"/>
        <family val="2"/>
      </rPr>
      <t xml:space="preserve">부리</t>
    </r>
    <r>
      <rPr>
        <sz val="10"/>
        <rFont val="Arial"/>
        <family val="0"/>
        <charset val="1"/>
      </rPr>
      <t xml:space="preserve">. 2.2 kgf·cm@6V, 13.4 g. SG90(</t>
    </r>
    <r>
      <rPr>
        <sz val="10"/>
        <rFont val="Noto Sans CJK SC"/>
        <family val="2"/>
      </rPr>
      <t xml:space="preserve">플라스틱 기어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낙하에 약함</t>
    </r>
  </si>
  <si>
    <t xml:space="preserve">알루미늄 서보 혼</t>
  </si>
  <si>
    <r>
      <rPr>
        <sz val="10"/>
        <rFont val="Arial"/>
        <family val="0"/>
        <charset val="1"/>
      </rPr>
      <t xml:space="preserve">25T </t>
    </r>
    <r>
      <rPr>
        <sz val="10"/>
        <rFont val="Noto Sans CJK SC"/>
        <family val="2"/>
      </rPr>
      <t xml:space="preserve">알루미늄 원형 혼 </t>
    </r>
    <r>
      <rPr>
        <sz val="10"/>
        <rFont val="Arial"/>
        <family val="0"/>
        <charset val="1"/>
      </rPr>
      <t xml:space="preserve">(MG996R</t>
    </r>
    <r>
      <rPr>
        <sz val="10"/>
        <rFont val="Noto Sans CJK SC"/>
        <family val="2"/>
      </rPr>
      <t xml:space="preserve">용</t>
    </r>
    <r>
      <rPr>
        <sz val="10"/>
        <rFont val="Arial"/>
        <family val="0"/>
        <charset val="1"/>
      </rPr>
      <t xml:space="preserve">)</t>
    </r>
  </si>
  <si>
    <t xml:space="preserve">https://www.aliexpress.com/w/wholesale-25T-aluminum-servo-horn.html?SortType=price_asc</t>
  </si>
  <si>
    <t xml:space="preserve">동봉 플라스틱 혼은 하중에 약함</t>
  </si>
  <si>
    <t xml:space="preserve">서보 연장선</t>
  </si>
  <si>
    <r>
      <rPr>
        <sz val="10"/>
        <rFont val="Noto Sans CJK SC"/>
        <family val="2"/>
      </rPr>
      <t xml:space="preserve">서보 연장 케이블 </t>
    </r>
    <r>
      <rPr>
        <sz val="10"/>
        <rFont val="Arial"/>
        <family val="0"/>
        <charset val="1"/>
      </rPr>
      <t xml:space="preserve">15–30 cm</t>
    </r>
  </si>
  <si>
    <t xml:space="preserve">https://www.aliexpress.com/w/wholesale-servo-extension-cable-30cm.html?SortType=price_asc</t>
  </si>
  <si>
    <t xml:space="preserve">다리 끝 서보용</t>
  </si>
  <si>
    <t xml:space="preserve">메인 컴퓨터</t>
  </si>
  <si>
    <r>
      <rPr>
        <sz val="10"/>
        <rFont val="Arial"/>
        <family val="0"/>
        <charset val="1"/>
      </rPr>
      <t xml:space="preserve">Raspberry Pi Zero 2 W (</t>
    </r>
    <r>
      <rPr>
        <sz val="10"/>
        <rFont val="Noto Sans CJK SC"/>
        <family val="2"/>
      </rPr>
      <t xml:space="preserve">헤더 포함</t>
    </r>
    <r>
      <rPr>
        <sz val="10"/>
        <rFont val="Arial"/>
        <family val="0"/>
        <charset val="1"/>
      </rPr>
      <t xml:space="preserve">)</t>
    </r>
  </si>
  <si>
    <t xml:space="preserve">에듀이노</t>
  </si>
  <si>
    <t xml:space="preserve">https://eduino.kr/product/라즈베리파이-제로-2-w-raspberry-pi-zero-2-w/2949/{$url}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</si>
  <si>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https://search.shopping.naver.com/search/all?query=%EB%9D%BC%EC%A6%88%EB%B2%A0%EB%A6%AC%ED%8C%8C%EC%9D%B4+%EC%A0%9C%EB%A1%9C+2W&amp;sort=price_asc</t>
    </r>
  </si>
  <si>
    <r>
      <rPr>
        <sz val="10"/>
        <rFont val="Arial"/>
        <family val="0"/>
        <charset val="1"/>
      </rPr>
      <t xml:space="preserve">⚠ 2026-10-29 </t>
    </r>
    <r>
      <rPr>
        <sz val="10"/>
        <rFont val="Noto Sans CJK SC"/>
        <family val="2"/>
      </rPr>
      <t xml:space="preserve">에듀이노 품절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대안 </t>
    </r>
    <r>
      <rPr>
        <sz val="10"/>
        <rFont val="Arial"/>
        <family val="0"/>
        <charset val="1"/>
      </rPr>
      <t xml:space="preserve">Pi 4 1–2GB (1.5</t>
    </r>
    <r>
      <rPr>
        <sz val="10"/>
        <rFont val="Noto Sans CJK SC"/>
        <family val="2"/>
      </rPr>
      <t xml:space="preserve">배 몸통에 들어감</t>
    </r>
    <r>
      <rPr>
        <sz val="10"/>
        <rFont val="Arial"/>
        <family val="0"/>
        <charset val="1"/>
      </rPr>
      <t xml:space="preserve">)</t>
    </r>
  </si>
  <si>
    <t xml:space="preserve">32GB A1</t>
  </si>
  <si>
    <t xml:space="preserve">IMU</t>
  </si>
  <si>
    <r>
      <rPr>
        <sz val="10"/>
        <rFont val="Arial"/>
        <family val="0"/>
        <charset val="1"/>
      </rPr>
      <t xml:space="preserve">BNO085 </t>
    </r>
    <r>
      <rPr>
        <sz val="10"/>
        <rFont val="Noto Sans CJK SC"/>
        <family val="2"/>
      </rPr>
      <t xml:space="preserve">모듈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게임 회전 벡터</t>
    </r>
    <r>
      <rPr>
        <sz val="10"/>
        <rFont val="Arial"/>
        <family val="0"/>
        <charset val="1"/>
      </rPr>
      <t xml:space="preserve">)</t>
    </r>
  </si>
  <si>
    <t xml:space="preserve">https://www.aliexpress.com/w/wholesale-BNO085-module.html?SortType=price_asc</t>
  </si>
  <si>
    <r>
      <rPr>
        <sz val="10"/>
        <rFont val="Arial"/>
        <family val="0"/>
        <charset val="1"/>
      </rPr>
      <t xml:space="preserve">BNO055(Open Duck </t>
    </r>
    <r>
      <rPr>
        <sz val="10"/>
        <rFont val="Noto Sans CJK SC"/>
        <family val="2"/>
      </rPr>
      <t xml:space="preserve">사용</t>
    </r>
    <r>
      <rPr>
        <sz val="10"/>
        <rFont val="Arial"/>
        <family val="0"/>
        <charset val="1"/>
      </rPr>
      <t xml:space="preserve">): https://www.aliexpress.com/w/wholesale-BNO055-module.html?SortType=price_asc</t>
    </r>
  </si>
  <si>
    <r>
      <rPr>
        <sz val="10"/>
        <rFont val="Noto Sans CJK SC"/>
        <family val="2"/>
      </rPr>
      <t xml:space="preserve">쿼터니언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자이로를 칩이 계산</t>
    </r>
  </si>
  <si>
    <r>
      <rPr>
        <sz val="10"/>
        <rFont val="Noto Sans CJK SC"/>
        <family val="2"/>
      </rPr>
      <t xml:space="preserve">위치 피드백 </t>
    </r>
    <r>
      <rPr>
        <sz val="10"/>
        <rFont val="Arial"/>
        <family val="0"/>
        <charset val="1"/>
      </rPr>
      <t xml:space="preserve">ADC</t>
    </r>
  </si>
  <si>
    <r>
      <rPr>
        <sz val="10"/>
        <rFont val="Arial"/>
        <family val="0"/>
        <charset val="1"/>
      </rPr>
      <t xml:space="preserve">ADS1115 16</t>
    </r>
    <r>
      <rPr>
        <sz val="10"/>
        <rFont val="Noto Sans CJK SC"/>
        <family val="2"/>
      </rPr>
      <t xml:space="preserve">비트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채널 모듈</t>
    </r>
  </si>
  <si>
    <t xml:space="preserve">https://search.shopping.naver.com/search/all?query=ADS1115+%EB%AA%A8%EB%93%88&amp;sort=price_asc</t>
  </si>
  <si>
    <r>
      <rPr>
        <sz val="10"/>
        <rFont val="Noto Sans CJK SC"/>
        <family val="2"/>
      </rPr>
      <t xml:space="preserve">알리</t>
    </r>
    <r>
      <rPr>
        <sz val="10"/>
        <rFont val="Arial"/>
        <family val="0"/>
        <charset val="1"/>
      </rPr>
      <t xml:space="preserve">: https://www.aliexpress.com/w/wholesale-ADS1115-module.html?SortType=price_asc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</si>
  <si>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× 4ch = 16ch, </t>
    </r>
    <r>
      <rPr>
        <sz val="10"/>
        <rFont val="Noto Sans CJK SC"/>
        <family val="2"/>
      </rPr>
      <t xml:space="preserve">주소 </t>
    </r>
    <r>
      <rPr>
        <sz val="10"/>
        <rFont val="Arial"/>
        <family val="0"/>
        <charset val="1"/>
      </rPr>
      <t xml:space="preserve">0x48–0x4B</t>
    </r>
  </si>
  <si>
    <t xml:space="preserve">피드백 배선</t>
  </si>
  <si>
    <r>
      <rPr>
        <sz val="10"/>
        <rFont val="Arial"/>
        <family val="0"/>
        <charset val="1"/>
      </rPr>
      <t xml:space="preserve">AWG30 </t>
    </r>
    <r>
      <rPr>
        <sz val="10"/>
        <rFont val="Noto Sans CJK SC"/>
        <family val="2"/>
      </rPr>
      <t xml:space="preserve">랩핑 와이어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분압 저항 </t>
    </r>
    <r>
      <rPr>
        <sz val="10"/>
        <rFont val="Arial"/>
        <family val="0"/>
        <charset val="1"/>
      </rPr>
      <t xml:space="preserve">10kΩ </t>
    </r>
    <r>
      <rPr>
        <sz val="10"/>
        <rFont val="Noto Sans CJK SC"/>
        <family val="2"/>
      </rPr>
      <t xml:space="preserve">키트</t>
    </r>
  </si>
  <si>
    <t xml:space="preserve">https://search.shopping.naver.com/search/all?query=AWG30+%EB%9E%A9%ED%95%91+%EC%99%80%EC%9D%B4%EC%96%B4&amp;sort=price_asc</t>
  </si>
  <si>
    <t xml:space="preserve">서보 가변저항 와이퍼 배선 개조용</t>
  </si>
  <si>
    <r>
      <rPr>
        <sz val="10"/>
        <rFont val="Arial"/>
        <family val="0"/>
        <charset val="1"/>
      </rPr>
      <t xml:space="preserve">PWM </t>
    </r>
    <r>
      <rPr>
        <sz val="10"/>
        <rFont val="Noto Sans CJK SC"/>
        <family val="2"/>
      </rPr>
      <t xml:space="preserve">드라이버</t>
    </r>
  </si>
  <si>
    <r>
      <rPr>
        <sz val="10"/>
        <rFont val="Arial"/>
        <family val="0"/>
        <charset val="1"/>
      </rPr>
      <t xml:space="preserve">PCA9685 16</t>
    </r>
    <r>
      <rPr>
        <sz val="10"/>
        <rFont val="Noto Sans CJK SC"/>
        <family val="2"/>
      </rPr>
      <t xml:space="preserve">채널 서보 드라이버</t>
    </r>
  </si>
  <si>
    <t xml:space="preserve">https://search.shopping.naver.com/search/all?query=PCA9685+%EC%84%9C%EB%B3%B4+%EB%93%9C%EB%9D%BC%EC%9D%B4%EB%B2%84&amp;sort=price_asc</t>
  </si>
  <si>
    <r>
      <rPr>
        <sz val="10"/>
        <rFont val="Noto Sans CJK SC"/>
        <family val="2"/>
      </rPr>
      <t xml:space="preserve">알리</t>
    </r>
    <r>
      <rPr>
        <sz val="10"/>
        <rFont val="Arial"/>
        <family val="0"/>
        <charset val="1"/>
      </rPr>
      <t xml:space="preserve">: https://www.aliexpress.com/w/wholesale-PCA9685-servo-driver.html?SortType=price_asc</t>
    </r>
  </si>
  <si>
    <r>
      <rPr>
        <sz val="10"/>
        <rFont val="Arial"/>
        <family val="0"/>
        <charset val="1"/>
      </rPr>
      <t xml:space="preserve">I²C, </t>
    </r>
    <r>
      <rPr>
        <sz val="10"/>
        <rFont val="Noto Sans CJK SC"/>
        <family val="2"/>
      </rPr>
      <t xml:space="preserve">하드웨어 </t>
    </r>
    <r>
      <rPr>
        <sz val="10"/>
        <rFont val="Arial"/>
        <family val="0"/>
        <charset val="1"/>
      </rPr>
      <t xml:space="preserve">PWM</t>
    </r>
  </si>
  <si>
    <r>
      <rPr>
        <sz val="10"/>
        <rFont val="Noto Sans CJK SC"/>
        <family val="2"/>
      </rPr>
      <t xml:space="preserve">만능기판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헤더</t>
    </r>
  </si>
  <si>
    <r>
      <rPr>
        <sz val="10"/>
        <rFont val="Noto Sans CJK SC"/>
        <family val="2"/>
      </rPr>
      <t xml:space="preserve">만능기판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핀헤더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전선</t>
    </r>
  </si>
  <si>
    <t xml:space="preserve">https://search.shopping.naver.com/search/all?query=%EB%A7%8C%EB%8A%A5%EA%B8%B0%ED%8C%90+%EC%96%91%EB%A9%B4&amp;sort=price_asc</t>
  </si>
  <si>
    <r>
      <rPr>
        <sz val="10"/>
        <rFont val="Noto Sans CJK SC"/>
        <family val="2"/>
      </rPr>
      <t xml:space="preserve">전원 분배</t>
    </r>
    <r>
      <rPr>
        <sz val="10"/>
        <rFont val="Arial"/>
        <family val="0"/>
        <charset val="1"/>
      </rPr>
      <t xml:space="preserve">·ADC </t>
    </r>
    <r>
      <rPr>
        <sz val="10"/>
        <rFont val="Noto Sans CJK SC"/>
        <family val="2"/>
      </rPr>
      <t xml:space="preserve">배선판</t>
    </r>
  </si>
  <si>
    <t xml:space="preserve">배터리</t>
  </si>
  <si>
    <t xml:space="preserve">2S LiPo 7.4V 2200mAh (XT60)</t>
  </si>
  <si>
    <t xml:space="preserve">https://search.shopping.naver.com/search/all?query=2S+%EB%A6%AC%ED%8F%AC+2200mAh&amp;sort=price_asc</t>
  </si>
  <si>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: 2S LiFePO4(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7.2V)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MG996R </t>
    </r>
    <r>
      <rPr>
        <sz val="10"/>
        <rFont val="Noto Sans CJK SC"/>
        <family val="2"/>
      </rPr>
      <t xml:space="preserve">직결 가능</t>
    </r>
  </si>
  <si>
    <t xml:space="preserve">충전기</t>
  </si>
  <si>
    <r>
      <rPr>
        <sz val="10"/>
        <rFont val="Arial"/>
        <family val="0"/>
        <charset val="1"/>
      </rPr>
      <t xml:space="preserve">2S/3S </t>
    </r>
    <r>
      <rPr>
        <sz val="10"/>
        <rFont val="Noto Sans CJK SC"/>
        <family val="2"/>
      </rPr>
      <t xml:space="preserve">밸런스 충전기</t>
    </r>
  </si>
  <si>
    <t xml:space="preserve">https://search.shopping.naver.com/search/all?query=%EB%A6%AC%ED%8F%AC+%EB%B0%B8%EB%9F%B0%EC%8A%A4+%EC%B6%A9%EC%A0%84%EA%B8%B0+2S+3S&amp;sort=price_asc</t>
  </si>
  <si>
    <r>
      <rPr>
        <sz val="10"/>
        <rFont val="Noto Sans CJK SC"/>
        <family val="2"/>
      </rPr>
      <t xml:space="preserve">보유 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</si>
  <si>
    <t xml:space="preserve">서보 전원</t>
  </si>
  <si>
    <r>
      <rPr>
        <sz val="10"/>
        <rFont val="Arial"/>
        <family val="0"/>
        <charset val="1"/>
      </rPr>
      <t xml:space="preserve">6V 10A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UBEC</t>
    </r>
  </si>
  <si>
    <t xml:space="preserve">https://search.shopping.naver.com/search/all?query=UBEC+6V+10A&amp;sort=price_asc</t>
  </si>
  <si>
    <r>
      <rPr>
        <sz val="10"/>
        <rFont val="Arial"/>
        <family val="0"/>
        <charset val="1"/>
      </rPr>
      <t xml:space="preserve">MG996R </t>
    </r>
    <r>
      <rPr>
        <sz val="10"/>
        <rFont val="Noto Sans CJK SC"/>
        <family val="2"/>
      </rPr>
      <t xml:space="preserve">정지전류 </t>
    </r>
    <r>
      <rPr>
        <sz val="10"/>
        <rFont val="Arial"/>
        <family val="0"/>
        <charset val="1"/>
      </rPr>
      <t xml:space="preserve">2.5A@6V × 11 → </t>
    </r>
    <r>
      <rPr>
        <sz val="10"/>
        <rFont val="Noto Sans CJK SC"/>
        <family val="2"/>
      </rPr>
      <t xml:space="preserve">여유 필요</t>
    </r>
  </si>
  <si>
    <r>
      <rPr>
        <sz val="10"/>
        <rFont val="Noto Sans CJK SC"/>
        <family val="2"/>
      </rPr>
      <t xml:space="preserve">머리 서보</t>
    </r>
    <r>
      <rPr>
        <sz val="10"/>
        <rFont val="Arial"/>
        <family val="0"/>
        <charset val="1"/>
      </rPr>
      <t xml:space="preserve">·Pi </t>
    </r>
    <r>
      <rPr>
        <sz val="10"/>
        <rFont val="Noto Sans CJK SC"/>
        <family val="2"/>
      </rPr>
      <t xml:space="preserve">전원</t>
    </r>
  </si>
  <si>
    <r>
      <rPr>
        <sz val="10"/>
        <rFont val="Arial"/>
        <family val="0"/>
        <charset val="1"/>
      </rPr>
      <t xml:space="preserve">MP1584EN 3A </t>
    </r>
    <r>
      <rPr>
        <sz val="10"/>
        <rFont val="Noto Sans CJK SC"/>
        <family val="2"/>
      </rPr>
      <t xml:space="preserve">강압 모듈</t>
    </r>
  </si>
  <si>
    <r>
      <rPr>
        <sz val="10"/>
        <rFont val="Arial"/>
        <family val="0"/>
        <charset val="1"/>
      </rPr>
      <t xml:space="preserve">Pi 5.1V 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MG90S 5–6V 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서보 레일과 분리</t>
    </r>
    <r>
      <rPr>
        <sz val="10"/>
        <rFont val="Arial"/>
        <family val="0"/>
        <charset val="1"/>
      </rPr>
      <t xml:space="preserve">)</t>
    </r>
  </si>
  <si>
    <t xml:space="preserve">전해 커패시터</t>
  </si>
  <si>
    <t xml:space="preserve">2200µF 16V</t>
  </si>
  <si>
    <t xml:space="preserve">https://search.shopping.naver.com/search/all?query=2200uF+16V+%EC%BD%98%EB%8D%B4%EC%84%9C&amp;sort=price_asc</t>
  </si>
  <si>
    <t xml:space="preserve">서보 레일 전압 강하 완화</t>
  </si>
  <si>
    <r>
      <rPr>
        <sz val="10"/>
        <rFont val="Noto Sans CJK SC"/>
        <family val="2"/>
      </rPr>
      <t xml:space="preserve">스위치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퓨즈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커넥터</t>
    </r>
  </si>
  <si>
    <r>
      <rPr>
        <sz val="10"/>
        <rFont val="Noto Sans CJK SC"/>
        <family val="2"/>
      </rPr>
      <t xml:space="preserve">로커스위치 </t>
    </r>
    <r>
      <rPr>
        <sz val="10"/>
        <rFont val="Arial"/>
        <family val="0"/>
        <charset val="1"/>
      </rPr>
      <t xml:space="preserve">10A, </t>
    </r>
    <r>
      <rPr>
        <sz val="10"/>
        <rFont val="Noto Sans CJK SC"/>
        <family val="2"/>
      </rPr>
      <t xml:space="preserve">블레이드 퓨즈 </t>
    </r>
    <r>
      <rPr>
        <sz val="10"/>
        <rFont val="Arial"/>
        <family val="0"/>
        <charset val="1"/>
      </rPr>
      <t xml:space="preserve">15A+</t>
    </r>
    <r>
      <rPr>
        <sz val="10"/>
        <rFont val="Noto Sans CJK SC"/>
        <family val="2"/>
      </rPr>
      <t xml:space="preserve">홀더</t>
    </r>
    <r>
      <rPr>
        <sz val="10"/>
        <rFont val="Arial"/>
        <family val="0"/>
        <charset val="1"/>
      </rPr>
      <t xml:space="preserve">, XT60</t>
    </r>
  </si>
  <si>
    <t xml:space="preserve">https://search.shopping.naver.com/search/all?query=%EB%B8%94%EB%A0%88%EC%9D%B4%EB%93%9C+%ED%93%A8%EC%A6%88+%ED%99%80%EB%8D%94+15A&amp;sort=price_asc</t>
  </si>
  <si>
    <t xml:space="preserve">관절 지지 베어링</t>
  </si>
  <si>
    <t xml:space="preserve">623ZZ 3×10×4 mm</t>
  </si>
  <si>
    <t xml:space="preserve">https://www.aliexpress.com/w/wholesale-623ZZ-bearing.html?SortType=price_asc</t>
  </si>
  <si>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: https://search.shopping.naver.com/search/all?query=623ZZ+%EB%B2%A0%EC%96%B4%EB%A7%81&amp;sort=price_asc</t>
    </r>
  </si>
  <si>
    <t xml:space="preserve">서보 반대편 축 지지</t>
  </si>
  <si>
    <r>
      <rPr>
        <sz val="10"/>
        <rFont val="Arial"/>
        <family val="0"/>
        <charset val="1"/>
      </rPr>
      <t xml:space="preserve">M2/M3 </t>
    </r>
    <r>
      <rPr>
        <sz val="10"/>
        <rFont val="Noto Sans CJK SC"/>
        <family val="2"/>
      </rPr>
      <t xml:space="preserve">볼트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너트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인서트 키트</t>
    </r>
  </si>
  <si>
    <t xml:space="preserve">https://www.aliexpress.com/w/wholesale-M3-screw-kit-heat-insert.html?SortType=price_asc</t>
  </si>
  <si>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배 확대로 부피 약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배 → </t>
    </r>
    <r>
      <rPr>
        <sz val="10"/>
        <rFont val="Arial"/>
        <family val="0"/>
        <charset val="1"/>
      </rPr>
      <t xml:space="preserve">1 kg </t>
    </r>
    <r>
      <rPr>
        <sz val="10"/>
        <rFont val="Noto Sans CJK SC"/>
        <family val="2"/>
      </rPr>
      <t xml:space="preserve">거의 다 사용</t>
    </r>
  </si>
  <si>
    <t xml:space="preserve">TPU 95A 0.5 kg</t>
  </si>
  <si>
    <t xml:space="preserve">발바닥</t>
  </si>
  <si>
    <t xml:space="preserve">part</t>
  </si>
  <si>
    <t xml:space="preserve">X_mm</t>
  </si>
  <si>
    <t xml:space="preserve">Y_mm</t>
  </si>
  <si>
    <t xml:space="preserve">Z_mm</t>
  </si>
  <si>
    <r>
      <rPr>
        <b val="true"/>
        <sz val="10"/>
        <color rgb="FFFFFFFF"/>
        <rFont val="Noto Sans CJK SC"/>
        <family val="2"/>
      </rPr>
      <t xml:space="preserve">부피</t>
    </r>
    <r>
      <rPr>
        <b val="true"/>
        <sz val="10"/>
        <color rgb="FFFFFFFF"/>
        <rFont val="Arial"/>
        <family val="0"/>
        <charset val="1"/>
      </rPr>
      <t xml:space="preserve">_cm3</t>
    </r>
  </si>
  <si>
    <r>
      <rPr>
        <b val="true"/>
        <sz val="10"/>
        <color rgb="FFFFFFFF"/>
        <rFont val="Noto Sans CJK SC"/>
        <family val="2"/>
      </rPr>
      <t xml:space="preserve">권장재질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품목</t>
    </r>
  </si>
  <si>
    <t xml:space="preserve">파일</t>
  </si>
  <si>
    <t xml:space="preserve">ankle_l_v1</t>
  </si>
  <si>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경질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</si>
  <si>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PETG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PLA+</t>
    </r>
  </si>
  <si>
    <t xml:space="preserve">롤러 장착용 발목 변형 롤러 옵션</t>
  </si>
  <si>
    <t xml:space="preserve">assets/ankle_l_v1.stl</t>
  </si>
  <si>
    <t xml:space="preserve">ankle_left</t>
  </si>
  <si>
    <t xml:space="preserve">assets/ankle_left.stl</t>
  </si>
  <si>
    <t xml:space="preserve">ankle_r_v1</t>
  </si>
  <si>
    <t xml:space="preserve">assets/ankle_r_v1.stl</t>
  </si>
  <si>
    <t xml:space="preserve">ankle_right</t>
  </si>
  <si>
    <t xml:space="preserve">assets/ankle_right.stl</t>
  </si>
  <si>
    <t xml:space="preserve">banana_pcb_locker</t>
  </si>
  <si>
    <t xml:space="preserve">assets/banana_pcb_locker.stl</t>
  </si>
  <si>
    <t xml:space="preserve">bearing_roll</t>
  </si>
  <si>
    <t xml:space="preserve">판재</t>
  </si>
  <si>
    <r>
      <rPr>
        <sz val="10"/>
        <color rgb="FF000000"/>
        <rFont val="Noto Sans CJK SC"/>
        <family val="2"/>
      </rPr>
      <t xml:space="preserve">알루미늄 </t>
    </r>
    <r>
      <rPr>
        <sz val="10"/>
        <color rgb="FF000000"/>
        <rFont val="Arial"/>
        <family val="0"/>
        <charset val="1"/>
      </rPr>
      <t xml:space="preserve">1 mm</t>
    </r>
  </si>
  <si>
    <r>
      <rPr>
        <sz val="10"/>
        <color rgb="FF000000"/>
        <rFont val="Noto Sans CJK SC"/>
        <family val="2"/>
      </rPr>
      <t xml:space="preserve">고관절 롤 베어링판 </t>
    </r>
    <r>
      <rPr>
        <sz val="10"/>
        <color rgb="FF000000"/>
        <rFont val="Arial"/>
        <family val="0"/>
        <charset val="1"/>
      </rPr>
      <t xml:space="preserve">(+</t>
    </r>
    <r>
      <rPr>
        <sz val="10"/>
        <color rgb="FF000000"/>
        <rFont val="Noto Sans CJK SC"/>
        <family val="2"/>
      </rPr>
      <t xml:space="preserve">보스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생략</t>
    </r>
    <r>
      <rPr>
        <sz val="10"/>
        <color rgb="FF000000"/>
        <rFont val="Arial"/>
        <family val="0"/>
        <charset val="1"/>
      </rPr>
      <t xml:space="preserve">) — DXF: cad/plates/dynamixel</t>
    </r>
  </si>
  <si>
    <t xml:space="preserve">assets/bearing_roll.stl</t>
  </si>
  <si>
    <t xml:space="preserve">bottom_head_shell</t>
  </si>
  <si>
    <t xml:space="preserve">assets/bottom_head_shell.stl</t>
  </si>
  <si>
    <t xml:space="preserve">elec_rpi_robot_hat_pcb</t>
  </si>
  <si>
    <r>
      <rPr>
        <sz val="10"/>
        <color rgb="FF000000"/>
        <rFont val="Noto Sans CJK SC"/>
        <family val="2"/>
      </rPr>
      <t xml:space="preserve">자작 </t>
    </r>
    <r>
      <rPr>
        <sz val="10"/>
        <color rgb="FF000000"/>
        <rFont val="Arial"/>
        <family val="0"/>
        <charset val="1"/>
      </rPr>
      <t xml:space="preserve">PCB</t>
    </r>
  </si>
  <si>
    <t xml:space="preserve">65×30 HAT</t>
  </si>
  <si>
    <r>
      <rPr>
        <sz val="10"/>
        <color rgb="FF000000"/>
        <rFont val="Noto Sans CJK SC"/>
        <family val="2"/>
      </rPr>
      <t xml:space="preserve">반이중 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오디오 등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직접 설계</t>
    </r>
    <r>
      <rPr>
        <sz val="10"/>
        <color rgb="FF000000"/>
        <rFont val="Arial"/>
        <family val="0"/>
        <charset val="1"/>
      </rPr>
      <t xml:space="preserve">)</t>
    </r>
  </si>
  <si>
    <t xml:space="preserve">assets/elec_rpi_robot_hat_pcb.stl</t>
  </si>
  <si>
    <t xml:space="preserve">face_part</t>
  </si>
  <si>
    <t xml:space="preserve">assets/face_part.stl</t>
  </si>
  <si>
    <t xml:space="preserve">foot_left</t>
  </si>
  <si>
    <t xml:space="preserve">assets/foot_left.stl</t>
  </si>
  <si>
    <t xml:space="preserve">foot_right</t>
  </si>
  <si>
    <t xml:space="preserve">assets/foot_right.stl</t>
  </si>
  <si>
    <t xml:space="preserve">hip_l</t>
  </si>
  <si>
    <t xml:space="preserve">assets/hip_l.stl</t>
  </si>
  <si>
    <t xml:space="preserve">jaw</t>
  </si>
  <si>
    <t xml:space="preserve">assets/jaw.stl</t>
  </si>
  <si>
    <t xml:space="preserve">jaw_soft</t>
  </si>
  <si>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연질</t>
    </r>
    <r>
      <rPr>
        <sz val="10"/>
        <color rgb="FF000000"/>
        <rFont val="Arial"/>
        <family val="0"/>
        <charset val="1"/>
      </rPr>
      <t xml:space="preserve">)</t>
    </r>
  </si>
  <si>
    <t xml:space="preserve">TPU 95A</t>
  </si>
  <si>
    <t xml:space="preserve">부리 아래 연질부</t>
  </si>
  <si>
    <t xml:space="preserve">assets/jaw_soft.stl</t>
  </si>
  <si>
    <t xml:space="preserve">left_shell</t>
  </si>
  <si>
    <t xml:space="preserve">assets/left_shell.stl</t>
  </si>
  <si>
    <t xml:space="preserve">leg</t>
  </si>
  <si>
    <t xml:space="preserve">assets/leg.stl</t>
  </si>
  <si>
    <t xml:space="preserve">lens</t>
  </si>
  <si>
    <t xml:space="preserve">구매품</t>
  </si>
  <si>
    <r>
      <rPr>
        <sz val="10"/>
        <color rgb="FF000000"/>
        <rFont val="Arial"/>
        <family val="0"/>
        <charset val="1"/>
      </rPr>
      <t xml:space="preserve">M12 </t>
    </r>
    <r>
      <rPr>
        <sz val="10"/>
        <color rgb="FF000000"/>
        <rFont val="Noto Sans CJK SC"/>
        <family val="2"/>
      </rPr>
      <t xml:space="preserve">광각 렌즈</t>
    </r>
  </si>
  <si>
    <r>
      <rPr>
        <sz val="10"/>
        <color rgb="FF000000"/>
        <rFont val="Arial"/>
        <family val="0"/>
        <charset val="1"/>
      </rPr>
      <t xml:space="preserve">IMX219 </t>
    </r>
    <r>
      <rPr>
        <sz val="10"/>
        <color rgb="FF000000"/>
        <rFont val="Noto Sans CJK SC"/>
        <family val="2"/>
      </rPr>
      <t xml:space="preserve">카메라용</t>
    </r>
  </si>
  <si>
    <t xml:space="preserve">assets/lens.stl</t>
  </si>
  <si>
    <t xml:space="preserve">m12_lens_holder</t>
  </si>
  <si>
    <t xml:space="preserve">assets/m12_lens_holder.stl</t>
  </si>
  <si>
    <t xml:space="preserve">motor_support</t>
  </si>
  <si>
    <t xml:space="preserve">assets/motor_support.stl</t>
  </si>
  <si>
    <t xml:space="preserve">neck</t>
  </si>
  <si>
    <r>
      <rPr>
        <sz val="10"/>
        <color rgb="FF000000"/>
        <rFont val="Noto Sans CJK SC"/>
        <family val="2"/>
      </rPr>
      <t xml:space="preserve">알루미늄 </t>
    </r>
    <r>
      <rPr>
        <sz val="10"/>
        <color rgb="FF000000"/>
        <rFont val="Arial"/>
        <family val="0"/>
        <charset val="1"/>
      </rPr>
      <t xml:space="preserve">2 mm</t>
    </r>
  </si>
  <si>
    <r>
      <rPr>
        <sz val="10"/>
        <color rgb="FF000000"/>
        <rFont val="Noto Sans CJK SC"/>
        <family val="2"/>
      </rPr>
      <t xml:space="preserve">목 연결판 — </t>
    </r>
    <r>
      <rPr>
        <sz val="10"/>
        <color rgb="FF000000"/>
        <rFont val="Arial"/>
        <family val="0"/>
        <charset val="1"/>
      </rPr>
      <t xml:space="preserve">DXF: cad/plates/dynamixel</t>
    </r>
  </si>
  <si>
    <t xml:space="preserve">assets/neck.stl</t>
  </si>
  <si>
    <t xml:space="preserve">neck_pitch</t>
  </si>
  <si>
    <t xml:space="preserve">assets/neck_pitch.stl</t>
  </si>
  <si>
    <t xml:space="preserve">noenoeil</t>
  </si>
  <si>
    <t xml:space="preserve">assets/noenoeil.stl</t>
  </si>
  <si>
    <t xml:space="preserve">np_f970</t>
  </si>
  <si>
    <r>
      <rPr>
        <sz val="10"/>
        <color rgb="FF000000"/>
        <rFont val="Arial"/>
        <family val="0"/>
        <charset val="1"/>
      </rPr>
      <t xml:space="preserve">Sony NP-F </t>
    </r>
    <r>
      <rPr>
        <sz val="10"/>
        <color rgb="FF000000"/>
        <rFont val="Noto Sans CJK SC"/>
        <family val="2"/>
      </rPr>
      <t xml:space="preserve">계열 배터리 외형</t>
    </r>
  </si>
  <si>
    <r>
      <rPr>
        <sz val="10"/>
        <color rgb="FF000000"/>
        <rFont val="Noto Sans CJK SC"/>
        <family val="2"/>
      </rPr>
      <t xml:space="preserve">모델은 </t>
    </r>
    <r>
      <rPr>
        <sz val="10"/>
        <color rgb="FF000000"/>
        <rFont val="Arial"/>
        <family val="0"/>
        <charset val="1"/>
      </rPr>
      <t xml:space="preserve">NP-F970 </t>
    </r>
    <r>
      <rPr>
        <sz val="10"/>
        <color rgb="FF000000"/>
        <rFont val="Noto Sans CJK SC"/>
        <family val="2"/>
      </rPr>
      <t xml:space="preserve">크기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실물은 </t>
    </r>
    <r>
      <rPr>
        <sz val="10"/>
        <color rgb="FF000000"/>
        <rFont val="Arial"/>
        <family val="0"/>
        <charset val="1"/>
      </rPr>
      <t xml:space="preserve">NP-F550</t>
    </r>
  </si>
  <si>
    <t xml:space="preserve">assets/np_f970.stl</t>
  </si>
  <si>
    <t xml:space="preserve">pcb__raspberry_pi_zero_2_w</t>
  </si>
  <si>
    <r>
      <rPr>
        <sz val="10"/>
        <color rgb="FF000000"/>
        <rFont val="Arial"/>
        <family val="0"/>
        <charset val="1"/>
      </rPr>
      <t xml:space="preserve">Radxa Zero 3W (</t>
    </r>
    <r>
      <rPr>
        <sz val="10"/>
        <color rgb="FF000000"/>
        <rFont val="Noto Sans CJK SC"/>
        <family val="2"/>
      </rPr>
      <t xml:space="preserve">동일 </t>
    </r>
    <r>
      <rPr>
        <sz val="10"/>
        <color rgb="FF000000"/>
        <rFont val="Arial"/>
        <family val="0"/>
        <charset val="1"/>
      </rPr>
      <t xml:space="preserve">65×30 </t>
    </r>
    <r>
      <rPr>
        <sz val="10"/>
        <color rgb="FF000000"/>
        <rFont val="Noto Sans CJK SC"/>
        <family val="2"/>
      </rPr>
      <t xml:space="preserve">폼팩터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</si>
  <si>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모델은 </t>
    </r>
    <r>
      <rPr>
        <sz val="10"/>
        <color rgb="FF000000"/>
        <rFont val="Arial"/>
        <family val="0"/>
        <charset val="1"/>
      </rPr>
      <t xml:space="preserve">Pi Zero 2W </t>
    </r>
    <r>
      <rPr>
        <sz val="10"/>
        <color rgb="FF000000"/>
        <rFont val="Noto Sans CJK SC"/>
        <family val="2"/>
      </rPr>
      <t xml:space="preserve">자리표시자</t>
    </r>
  </si>
  <si>
    <t xml:space="preserve">assets/pcb__raspberry_pi_zero_2_w.stl</t>
  </si>
  <si>
    <t xml:space="preserve">power_support</t>
  </si>
  <si>
    <t xml:space="preserve">assets/power_support.stl</t>
  </si>
  <si>
    <t xml:space="preserve">right_shell</t>
  </si>
  <si>
    <t xml:space="preserve">assets/right_shell.stl</t>
  </si>
  <si>
    <t xml:space="preserve">rim</t>
  </si>
  <si>
    <t xml:space="preserve">롤러 옵션</t>
  </si>
  <si>
    <t xml:space="preserve">assets/rim.stl</t>
  </si>
  <si>
    <t xml:space="preserve">roller_blade</t>
  </si>
  <si>
    <t xml:space="preserve">assets/roller_blade.stl</t>
  </si>
  <si>
    <t xml:space="preserve">seeed_bearing__configuration__22x16x4</t>
  </si>
  <si>
    <r>
      <rPr>
        <sz val="10"/>
        <color rgb="FF000000"/>
        <rFont val="Noto Sans CJK SC"/>
        <family val="2"/>
      </rPr>
      <t xml:space="preserve">볼베어링 </t>
    </r>
    <r>
      <rPr>
        <sz val="10"/>
        <color rgb="FF000000"/>
        <rFont val="Arial"/>
        <family val="0"/>
        <charset val="1"/>
      </rPr>
      <t xml:space="preserve">16×22×4</t>
    </r>
  </si>
  <si>
    <t xml:space="preserve">assets/seeed_bearing__configuration__22x16x4.stl</t>
  </si>
  <si>
    <t xml:space="preserve">seeed_bearing__configuration_default</t>
  </si>
  <si>
    <r>
      <rPr>
        <sz val="10"/>
        <color rgb="FF000000"/>
        <rFont val="Noto Sans CJK SC"/>
        <family val="2"/>
      </rPr>
      <t xml:space="preserve">볼베어링 </t>
    </r>
    <r>
      <rPr>
        <sz val="10"/>
        <color rgb="FF000000"/>
        <rFont val="Arial"/>
        <family val="0"/>
        <charset val="1"/>
      </rPr>
      <t xml:space="preserve">10×15×3</t>
    </r>
  </si>
  <si>
    <t xml:space="preserve">소형 베어링</t>
  </si>
  <si>
    <t xml:space="preserve">assets/seeed_bearing__configuration_default.stl</t>
  </si>
  <si>
    <t xml:space="preserve">soft_mouth_top</t>
  </si>
  <si>
    <t xml:space="preserve">부리 위 연질부</t>
  </si>
  <si>
    <t xml:space="preserve">assets/soft_mouth_top.stl</t>
  </si>
  <si>
    <t xml:space="preserve">sole_left</t>
  </si>
  <si>
    <t xml:space="preserve">assets/sole_left.stl</t>
  </si>
  <si>
    <t xml:space="preserve">sole_right</t>
  </si>
  <si>
    <t xml:space="preserve">assets/sole_right.stl</t>
  </si>
  <si>
    <t xml:space="preserve">speaker</t>
  </si>
  <si>
    <r>
      <rPr>
        <sz val="10"/>
        <color rgb="FF000000"/>
        <rFont val="Arial"/>
        <family val="0"/>
        <charset val="1"/>
      </rPr>
      <t xml:space="preserve">35×25×7 mm </t>
    </r>
    <r>
      <rPr>
        <sz val="10"/>
        <color rgb="FF000000"/>
        <rFont val="Noto Sans CJK SC"/>
        <family val="2"/>
      </rPr>
      <t xml:space="preserve">소형 스피커</t>
    </r>
  </si>
  <si>
    <t xml:space="preserve">assets/speaker.stl</t>
  </si>
  <si>
    <t xml:space="preserve">tire</t>
  </si>
  <si>
    <r>
      <rPr>
        <sz val="10"/>
        <color rgb="FF000000"/>
        <rFont val="Noto Sans CJK SC"/>
        <family val="2"/>
      </rPr>
      <t xml:space="preserve">롤러 타이어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선택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롤러 옵션</t>
    </r>
  </si>
  <si>
    <t xml:space="preserve">assets/tire.stl</t>
  </si>
  <si>
    <t xml:space="preserve">top_head_shell</t>
  </si>
  <si>
    <t xml:space="preserve">assets/top_head_shell.stl</t>
  </si>
  <si>
    <t xml:space="preserve">trunk_base</t>
  </si>
  <si>
    <r>
      <rPr>
        <sz val="10"/>
        <color rgb="FF000000"/>
        <rFont val="Noto Sans CJK SC"/>
        <family val="2"/>
      </rPr>
      <t xml:space="preserve">몸통 바닥판 </t>
    </r>
    <r>
      <rPr>
        <sz val="10"/>
        <color rgb="FF000000"/>
        <rFont val="Arial"/>
        <family val="0"/>
        <charset val="1"/>
      </rPr>
      <t xml:space="preserve">(+</t>
    </r>
    <r>
      <rPr>
        <sz val="10"/>
        <color rgb="FF000000"/>
        <rFont val="Noto Sans CJK SC"/>
        <family val="2"/>
      </rPr>
      <t xml:space="preserve">높이 </t>
    </r>
    <r>
      <rPr>
        <sz val="10"/>
        <color rgb="FF000000"/>
        <rFont val="Arial"/>
        <family val="0"/>
        <charset val="1"/>
      </rPr>
      <t xml:space="preserve">2 mm </t>
    </r>
    <r>
      <rPr>
        <sz val="10"/>
        <color rgb="FF000000"/>
        <rFont val="Noto Sans CJK SC"/>
        <family val="2"/>
      </rPr>
      <t xml:space="preserve">보스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개는 생략</t>
    </r>
    <r>
      <rPr>
        <sz val="10"/>
        <color rgb="FF000000"/>
        <rFont val="Arial"/>
        <family val="0"/>
        <charset val="1"/>
      </rPr>
      <t xml:space="preserve">) — DXF: cad/plates/dynamixel</t>
    </r>
  </si>
  <si>
    <t xml:space="preserve">assets/trunk_base.stl</t>
  </si>
  <si>
    <t xml:space="preserve">upper_leg_left</t>
  </si>
  <si>
    <t xml:space="preserve">assets/upper_leg_left.stl</t>
  </si>
  <si>
    <t xml:space="preserve">upper_leg_right</t>
  </si>
  <si>
    <t xml:space="preserve">assets/upper_leg_right.stl</t>
  </si>
  <si>
    <t xml:space="preserve">upper_leg_rigidity_plate</t>
  </si>
  <si>
    <r>
      <rPr>
        <sz val="10"/>
        <color rgb="FF000000"/>
        <rFont val="Noto Sans CJK SC"/>
        <family val="2"/>
      </rPr>
      <t xml:space="preserve">허벅지 보강판 — </t>
    </r>
    <r>
      <rPr>
        <sz val="10"/>
        <color rgb="FF000000"/>
        <rFont val="Arial"/>
        <family val="0"/>
        <charset val="1"/>
      </rPr>
      <t xml:space="preserve">DXF: cad/plates/dynamixel</t>
    </r>
  </si>
  <si>
    <t xml:space="preserve">assets/upper_leg_rigidity_plate.stl</t>
  </si>
  <si>
    <t xml:space="preserve">xl330</t>
  </si>
  <si>
    <r>
      <rPr>
        <sz val="10"/>
        <color rgb="FF000000"/>
        <rFont val="Noto Sans CJK SC"/>
        <family val="2"/>
      </rPr>
      <t xml:space="preserve">서보 외형 </t>
    </r>
    <r>
      <rPr>
        <sz val="10"/>
        <color rgb="FF000000"/>
        <rFont val="Arial"/>
        <family val="0"/>
        <charset val="1"/>
      </rPr>
      <t xml:space="preserve">(20×34×26 mm)</t>
    </r>
  </si>
  <si>
    <t xml:space="preserve">assets/xl330.stl</t>
  </si>
  <si>
    <t xml:space="preserve">yaw2roll</t>
  </si>
  <si>
    <t xml:space="preserve">assets/yaw2roll.stl</t>
  </si>
  <si>
    <t xml:space="preserve">yaw_roll_motion</t>
  </si>
  <si>
    <t xml:space="preserve">assets/yaw_roll_motion.stl</t>
  </si>
  <si>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Pollen Robotics microduck_rl MJCF/STL </t>
    </r>
    <r>
      <rPr>
        <i val="true"/>
        <sz val="9"/>
        <rFont val="Noto Sans CJK SC"/>
        <family val="2"/>
      </rPr>
      <t xml:space="preserve">실측 </t>
    </r>
    <r>
      <rPr>
        <i val="true"/>
        <sz val="9"/>
        <rFont val="Arial"/>
        <family val="0"/>
        <charset val="1"/>
      </rPr>
      <t xml:space="preserve">(CC BY-NC-SA 4.0). </t>
    </r>
    <r>
      <rPr>
        <i val="true"/>
        <sz val="9"/>
        <rFont val="Noto Sans CJK SC"/>
        <family val="2"/>
      </rPr>
      <t xml:space="preserve">재질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분류는 추정값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저렴한 버전은 부리 서보 자리를 고정 부품으로 대체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</si>
</sst>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₩#,##0"/>
    <numFmt numFmtId="166" formatCode="#,##0"/>
    <numFmt numFmtId="167" formatCode="#,##0.0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DE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E9E7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robotis.com/shop/item.php?it_id=902-0163-000" TargetMode="External"/><Relationship Id="rId2" Type="http://schemas.openxmlformats.org/officeDocument/2006/relationships/hyperlink" Target="https://www.robotis.com/shop/item.php?it_id=902-0132-000" TargetMode="External"/><Relationship Id="rId3" Type="http://schemas.openxmlformats.org/officeDocument/2006/relationships/hyperlink" Target="https://www.robotis.com/shop/list.php?ca_id=202030" TargetMode="External"/><Relationship Id="rId4" Type="http://schemas.openxmlformats.org/officeDocument/2006/relationships/hyperlink" Target="https://www.robotis.com/shop/list.php?ca_id=202030" TargetMode="External"/><Relationship Id="rId5" Type="http://schemas.openxmlformats.org/officeDocument/2006/relationships/hyperlink" Target="https://arace.tech/products/radxa-zero-3w" TargetMode="External"/><Relationship Id="rId6" Type="http://schemas.openxmlformats.org/officeDocument/2006/relationships/hyperlink" Target="https://www.aliexpress.us/item/3256806829446736.html" TargetMode="External"/><Relationship Id="rId7" Type="http://schemas.openxmlformats.org/officeDocument/2006/relationships/hyperlink" Target="https://www.sparkfun.com/sparkfun-6dof-imu-breakout-lsm6dsv16x-qwiic.html" TargetMode="External"/><Relationship Id="rId8" Type="http://schemas.openxmlformats.org/officeDocument/2006/relationships/hyperlink" Target="https://search.shopping.naver.com/search/all?query=ESP32-C3+SuperMini&amp;sort=price_asc" TargetMode="External"/><Relationship Id="rId9" Type="http://schemas.openxmlformats.org/officeDocument/2006/relationships/hyperlink" Target="https://www.digikey.kr/en/products/detail/pololu/3419/22310072" TargetMode="External"/><Relationship Id="rId10" Type="http://schemas.openxmlformats.org/officeDocument/2006/relationships/hyperlink" Target="https://www.aliexpress.com/w/wholesale-IMX219-M12-camera-module.html?SortType=price_asc" TargetMode="External"/><Relationship Id="rId11" Type="http://schemas.openxmlformats.org/officeDocument/2006/relationships/hyperlink" Target="https://www.aliexpress.com/w/wholesale-22pin-to-15pin-CSI-cable.html?SortType=price_asc" TargetMode="External"/><Relationship Id="rId12" Type="http://schemas.openxmlformats.org/officeDocument/2006/relationships/hyperlink" Target="https://www.lcsc.com/search?q=TLV320AIC3104" TargetMode="External"/><Relationship Id="rId13" Type="http://schemas.openxmlformats.org/officeDocument/2006/relationships/hyperlink" Target="https://search.shopping.naver.com/search/all?query=&#49548;&#54805;+&#49828;&#54588;&#52964;+8&#50740;+1W+3525&amp;sort=price_asc" TargetMode="External"/><Relationship Id="rId14" Type="http://schemas.openxmlformats.org/officeDocument/2006/relationships/hyperlink" Target="https://search.shopping.naver.com/search/all?query=MEMS+&#47560;&#51060;&#53356;+&#47784;&#46280;&amp;sort=price_asc" TargetMode="External"/><Relationship Id="rId15" Type="http://schemas.openxmlformats.org/officeDocument/2006/relationships/hyperlink" Target="https://search.shopping.naver.com/search/all?query=NP-F550+&#54840;&#54872;+&#48176;&#53552;&#47532;+&#52649;&#51204;&#44592;+&#49464;&#53944;&amp;sort=price_asc" TargetMode="External"/><Relationship Id="rId16" Type="http://schemas.openxmlformats.org/officeDocument/2006/relationships/hyperlink" Target="https://www.aliexpress.com/w/wholesale-NP-F-battery-plate-holder.html?SortType=price_asc" TargetMode="External"/><Relationship Id="rId17" Type="http://schemas.openxmlformats.org/officeDocument/2006/relationships/hyperlink" Target="https://search.shopping.naver.com/search/all?query=MP1584EN+&#44053;&#50517;+&#47784;&#46280;&amp;sort=price_asc" TargetMode="External"/><Relationship Id="rId18" Type="http://schemas.openxmlformats.org/officeDocument/2006/relationships/hyperlink" Target="https://search.shopping.naver.com/search/all?query=&#48120;&#45768;+&#47196;&#52964;&#49828;&#50948;&#52824;+5A&amp;sort=price_asc" TargetMode="External"/><Relationship Id="rId19" Type="http://schemas.openxmlformats.org/officeDocument/2006/relationships/hyperlink" Target="https://search.shopping.naver.com/search/all?query=&#48120;&#45768;+&#48660;&#47112;&#51060;&#46300;+&#54504;&#51592;+&#54848;&#45908;&amp;sort=price_asc" TargetMode="External"/><Relationship Id="rId20" Type="http://schemas.openxmlformats.org/officeDocument/2006/relationships/hyperlink" Target="https://www.aliexpress.com/w/wholesale-XT30-connector.html?SortType=price_asc" TargetMode="External"/><Relationship Id="rId21" Type="http://schemas.openxmlformats.org/officeDocument/2006/relationships/hyperlink" Target="https://www.lcsc.com/search?q=SN74LVC2G241" TargetMode="External"/><Relationship Id="rId22" Type="http://schemas.openxmlformats.org/officeDocument/2006/relationships/hyperlink" Target="https://jlcpcb.com/" TargetMode="External"/><Relationship Id="rId23" Type="http://schemas.openxmlformats.org/officeDocument/2006/relationships/hyperlink" Target="https://www.aliexpress.com/w/wholesale-JST-EH-2.5mm-3pin-header.html?SortType=price_asc" TargetMode="External"/><Relationship Id="rId24" Type="http://schemas.openxmlformats.org/officeDocument/2006/relationships/hyperlink" Target="https://www.aliexpress.com/w/wholesale-16x22x4-bearing.html?SortType=price_asc" TargetMode="External"/><Relationship Id="rId25" Type="http://schemas.openxmlformats.org/officeDocument/2006/relationships/hyperlink" Target="https://www.aliexpress.com/w/wholesale-10x15x3-bearing.html?SortType=price_asc" TargetMode="External"/><Relationship Id="rId26" Type="http://schemas.openxmlformats.org/officeDocument/2006/relationships/hyperlink" Target="https://www.aliexpress.com/w/wholesale-M2-M2.5-M3-screw-kit.html?SortType=price_asc" TargetMode="External"/><Relationship Id="rId27" Type="http://schemas.openxmlformats.org/officeDocument/2006/relationships/hyperlink" Target="https://www.aliexpress.com/w/wholesale-M2-heat-set-insert.html?SortType=price_asc" TargetMode="External"/><Relationship Id="rId28" Type="http://schemas.openxmlformats.org/officeDocument/2006/relationships/hyperlink" Target="https://search.shopping.naver.com/search/all?query=&#50508;&#47336;&#48120;&#45700;+&#47112;&#51060;&#51200;+&#44032;&#44277;+&#49548;&#47049;&amp;sort=price_asc" TargetMode="External"/><Relationship Id="rId29" Type="http://schemas.openxmlformats.org/officeDocument/2006/relationships/hyperlink" Target="https://search.shopping.naver.com/search/all?query=PETG+&#54596;&#46972;&#47704;&#53944;+1kg&amp;sort=price_asc" TargetMode="External"/><Relationship Id="rId30" Type="http://schemas.openxmlformats.org/officeDocument/2006/relationships/hyperlink" Target="https://search.shopping.naver.com/search/all?query=TPU+95A+&#54596;&#46972;&#47704;&#53944;&amp;sort=price_asc" TargetMode="External"/><Relationship Id="rId31" Type="http://schemas.openxmlformats.org/officeDocument/2006/relationships/hyperlink" Target="https://search.shopping.naver.com/search/all?query=Xbox+&#47924;&#49440;+&#52968;&#53944;&#47204;&#47084;&amp;sort=price_asc" TargetMode="External"/><Relationship Id="rId3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robotis.com/shop/item.php?it_id=902-0163-000" TargetMode="External"/><Relationship Id="rId2" Type="http://schemas.openxmlformats.org/officeDocument/2006/relationships/hyperlink" Target="https://search.shopping.naver.com/search/all?query=CP2102+USB+TTL+&#47784;&#46280;&amp;sort=price_asc" TargetMode="External"/><Relationship Id="rId3" Type="http://schemas.openxmlformats.org/officeDocument/2006/relationships/hyperlink" Target="https://arace.tech/products/radxa-zero-3w" TargetMode="External"/><Relationship Id="rId4" Type="http://schemas.openxmlformats.org/officeDocument/2006/relationships/hyperlink" Target="https://www.aliexpress.us/item/3256806829446736.html" TargetMode="External"/><Relationship Id="rId5" Type="http://schemas.openxmlformats.org/officeDocument/2006/relationships/hyperlink" Target="https://search.shopping.naver.com/search/all?query=microSD+32GB+A1&amp;sort=price_asc" TargetMode="External"/><Relationship Id="rId6" Type="http://schemas.openxmlformats.org/officeDocument/2006/relationships/hyperlink" Target="https://www.sparkfun.com/sparkfun-6dof-imu-breakout-lsm6dsv16x-qwiic.html" TargetMode="External"/><Relationship Id="rId7" Type="http://schemas.openxmlformats.org/officeDocument/2006/relationships/hyperlink" Target="https://search.shopping.naver.com/search/all?query=ESP32-C3+SuperMini&amp;sort=price_asc" TargetMode="External"/><Relationship Id="rId8" Type="http://schemas.openxmlformats.org/officeDocument/2006/relationships/hyperlink" Target="https://search.shopping.naver.com/search/all?query=NP-F550+&#54840;&#54872;+&#48176;&#53552;&#47532;+&#52649;&#51204;&#44592;+&#49464;&#53944;&amp;sort=price_asc" TargetMode="External"/><Relationship Id="rId9" Type="http://schemas.openxmlformats.org/officeDocument/2006/relationships/hyperlink" Target="https://www.aliexpress.com/w/wholesale-NP-F-battery-plate-holder.html?SortType=price_asc" TargetMode="External"/><Relationship Id="rId10" Type="http://schemas.openxmlformats.org/officeDocument/2006/relationships/hyperlink" Target="https://search.shopping.naver.com/search/all?query=MP1584EN+&#44053;&#50517;+&#47784;&#46280;&amp;sort=price_asc" TargetMode="External"/><Relationship Id="rId11" Type="http://schemas.openxmlformats.org/officeDocument/2006/relationships/hyperlink" Target="https://search.shopping.naver.com/search/all?query=&#48120;&#45768;+&#47196;&#52964;&#49828;&#50948;&#52824;+5A&amp;sort=price_asc" TargetMode="External"/><Relationship Id="rId12" Type="http://schemas.openxmlformats.org/officeDocument/2006/relationships/hyperlink" Target="https://search.shopping.naver.com/search/all?query=&#48120;&#45768;+&#48660;&#47112;&#51060;&#46300;+&#54504;&#51592;+&#54848;&#45908;&amp;sort=price_asc" TargetMode="External"/><Relationship Id="rId13" Type="http://schemas.openxmlformats.org/officeDocument/2006/relationships/hyperlink" Target="https://www.lcsc.com/search?q=SN74LVC2G241" TargetMode="External"/><Relationship Id="rId14" Type="http://schemas.openxmlformats.org/officeDocument/2006/relationships/hyperlink" Target="https://jlcpcb.com/" TargetMode="External"/><Relationship Id="rId15" Type="http://schemas.openxmlformats.org/officeDocument/2006/relationships/hyperlink" Target="https://www.aliexpress.com/w/wholesale-JST-EH-2.5mm-3pin-header.html?SortType=price_asc" TargetMode="External"/><Relationship Id="rId16" Type="http://schemas.openxmlformats.org/officeDocument/2006/relationships/hyperlink" Target="https://www.aliexpress.com/w/wholesale-16x22x4-bearing.html?SortType=price_asc" TargetMode="External"/><Relationship Id="rId17" Type="http://schemas.openxmlformats.org/officeDocument/2006/relationships/hyperlink" Target="https://www.aliexpress.com/w/wholesale-10x15x3-bearing.html?SortType=price_asc" TargetMode="External"/><Relationship Id="rId18" Type="http://schemas.openxmlformats.org/officeDocument/2006/relationships/hyperlink" Target="https://www.aliexpress.com/w/wholesale-M2-M2.5-M3-screw-kit.html?SortType=price_asc" TargetMode="External"/><Relationship Id="rId19" Type="http://schemas.openxmlformats.org/officeDocument/2006/relationships/hyperlink" Target="https://jlcpcb.com/" TargetMode="External"/><Relationship Id="rId20" Type="http://schemas.openxmlformats.org/officeDocument/2006/relationships/hyperlink" Target="https://search.shopping.naver.com/search/all?query=PETG+&#54596;&#46972;&#47704;&#53944;+1kg&amp;sort=price_asc" TargetMode="External"/><Relationship Id="rId21" Type="http://schemas.openxmlformats.org/officeDocument/2006/relationships/hyperlink" Target="https://search.shopping.naver.com/search/all?query=TPU+95A+&#54596;&#46972;&#47704;&#53944;&amp;sort=price_asc" TargetMode="External"/><Relationship Id="rId2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evicemart.co.kr/goods/view?no=1313388" TargetMode="External"/><Relationship Id="rId2" Type="http://schemas.openxmlformats.org/officeDocument/2006/relationships/hyperlink" Target="https://search.shopping.naver.com/search/all?query=MG90S+&#49436;&#48372;&#47784;&#53552;&amp;sort=price_asc" TargetMode="External"/><Relationship Id="rId3" Type="http://schemas.openxmlformats.org/officeDocument/2006/relationships/hyperlink" Target="https://www.aliexpress.com/w/wholesale-25T-aluminum-servo-horn.html?SortType=price_asc" TargetMode="External"/><Relationship Id="rId4" Type="http://schemas.openxmlformats.org/officeDocument/2006/relationships/hyperlink" Target="https://www.aliexpress.com/w/wholesale-servo-extension-cable-30cm.html?SortType=price_asc" TargetMode="External"/><Relationship Id="rId5" Type="http://schemas.openxmlformats.org/officeDocument/2006/relationships/hyperlink" Target="https://eduino.kr/product/&#46972;&#51592;&#48288;&#47532;&#54028;&#51060;-&#51228;&#47196;-2-w-raspberry-pi-zero-2-w/2949/%7B$url%7D" TargetMode="External"/><Relationship Id="rId6" Type="http://schemas.openxmlformats.org/officeDocument/2006/relationships/hyperlink" Target="https://search.shopping.naver.com/search/all?query=microSD+32GB+A1&amp;sort=price_asc" TargetMode="External"/><Relationship Id="rId7" Type="http://schemas.openxmlformats.org/officeDocument/2006/relationships/hyperlink" Target="https://www.aliexpress.com/w/wholesale-BNO085-module.html?SortType=price_asc" TargetMode="External"/><Relationship Id="rId8" Type="http://schemas.openxmlformats.org/officeDocument/2006/relationships/hyperlink" Target="https://search.shopping.naver.com/search/all?query=ADS1115+&#47784;&#46280;&amp;sort=price_asc" TargetMode="External"/><Relationship Id="rId9" Type="http://schemas.openxmlformats.org/officeDocument/2006/relationships/hyperlink" Target="https://search.shopping.naver.com/search/all?query=AWG30+&#47017;&#54609;+&#50752;&#51060;&#50612;&amp;sort=price_asc" TargetMode="External"/><Relationship Id="rId10" Type="http://schemas.openxmlformats.org/officeDocument/2006/relationships/hyperlink" Target="https://search.shopping.naver.com/search/all?query=PCA9685+&#49436;&#48372;+&#46300;&#46972;&#51060;&#48260;&amp;sort=price_asc" TargetMode="External"/><Relationship Id="rId11" Type="http://schemas.openxmlformats.org/officeDocument/2006/relationships/hyperlink" Target="https://search.shopping.naver.com/search/all?query=&#47564;&#45733;&#44592;&#54032;+&#50577;&#47732;&amp;sort=price_asc" TargetMode="External"/><Relationship Id="rId12" Type="http://schemas.openxmlformats.org/officeDocument/2006/relationships/hyperlink" Target="https://search.shopping.naver.com/search/all?query=2S+&#47532;&#54252;+2200mAh&amp;sort=price_asc" TargetMode="External"/><Relationship Id="rId13" Type="http://schemas.openxmlformats.org/officeDocument/2006/relationships/hyperlink" Target="https://search.shopping.naver.com/search/all?query=&#47532;&#54252;+&#48184;&#47088;&#49828;+&#52649;&#51204;&#44592;+2S+3S&amp;sort=price_asc" TargetMode="External"/><Relationship Id="rId14" Type="http://schemas.openxmlformats.org/officeDocument/2006/relationships/hyperlink" Target="https://search.shopping.naver.com/search/all?query=UBEC+6V+10A&amp;sort=price_asc" TargetMode="External"/><Relationship Id="rId15" Type="http://schemas.openxmlformats.org/officeDocument/2006/relationships/hyperlink" Target="https://search.shopping.naver.com/search/all?query=MP1584EN+&#44053;&#50517;+&#47784;&#46280;&amp;sort=price_asc" TargetMode="External"/><Relationship Id="rId16" Type="http://schemas.openxmlformats.org/officeDocument/2006/relationships/hyperlink" Target="https://search.shopping.naver.com/search/all?query=2200uF+16V+&#53080;&#45940;&#49436;&amp;sort=price_asc" TargetMode="External"/><Relationship Id="rId17" Type="http://schemas.openxmlformats.org/officeDocument/2006/relationships/hyperlink" Target="https://search.shopping.naver.com/search/all?query=&#48660;&#47112;&#51060;&#46300;+&#54504;&#51592;+&#54848;&#45908;+15A&amp;sort=price_asc" TargetMode="External"/><Relationship Id="rId18" Type="http://schemas.openxmlformats.org/officeDocument/2006/relationships/hyperlink" Target="https://www.aliexpress.com/w/wholesale-623ZZ-bearing.html?SortType=price_asc" TargetMode="External"/><Relationship Id="rId19" Type="http://schemas.openxmlformats.org/officeDocument/2006/relationships/hyperlink" Target="https://www.aliexpress.com/w/wholesale-M3-screw-kit-heat-insert.html?SortType=price_asc" TargetMode="External"/><Relationship Id="rId20" Type="http://schemas.openxmlformats.org/officeDocument/2006/relationships/hyperlink" Target="https://search.shopping.naver.com/search/all?query=PETG+&#54596;&#46972;&#47704;&#53944;+1kg&amp;sort=price_asc" TargetMode="External"/><Relationship Id="rId21" Type="http://schemas.openxmlformats.org/officeDocument/2006/relationships/hyperlink" Target="https://search.shopping.naver.com/search/all?query=TPU+95A+&#54596;&#46972;&#47704;&#53944;&amp;sort=price_asc" TargetMode="External"/><Relationship Id="rId22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0"/>
    <col collapsed="false" customWidth="true" hidden="false" outlineLevel="0" max="4" min="4" style="0" width="4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1400</v>
      </c>
    </row>
    <row r="5" customFormat="false" ht="15" hidden="false" customHeight="false" outlineLevel="0" collapsed="false">
      <c r="A5" s="3" t="s">
        <v>3</v>
      </c>
      <c r="C5" s="4" t="n">
        <v>1</v>
      </c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</row>
    <row r="8" customFormat="false" ht="15" hidden="false" customHeight="false" outlineLevel="0" collapsed="false">
      <c r="A8" s="3" t="s">
        <v>8</v>
      </c>
      <c r="B8" s="6" t="n">
        <f aca="false">SUMIFS(오리지널!$J$6:$J$36,오리지널!$A$6:$A$36,A8)</f>
        <v>498630</v>
      </c>
      <c r="C8" s="6" t="n">
        <f aca="false">SUMIFS('저렴한 버전'!$J$6:$J$26,'저렴한 버전'!$A$6:$A$26,A8)</f>
        <v>372100</v>
      </c>
      <c r="D8" s="6" t="n">
        <f aca="false">SUMIFS('일반 서보 버전'!$J$6:$J$26,'일반 서보 버전'!$A$6:$A$26,A8)</f>
        <v>101000</v>
      </c>
    </row>
    <row r="9" customFormat="false" ht="15" hidden="false" customHeight="false" outlineLevel="0" collapsed="false">
      <c r="A9" s="3" t="s">
        <v>9</v>
      </c>
      <c r="B9" s="6" t="n">
        <f aca="false">SUMIFS(오리지널!$J$6:$J$36,오리지널!$A$6:$A$36,A9)</f>
        <v>31000</v>
      </c>
      <c r="C9" s="6" t="n">
        <f aca="false">SUMIFS('저렴한 버전'!$J$6:$J$26,'저렴한 버전'!$A$6:$A$26,A9)</f>
        <v>37000</v>
      </c>
      <c r="D9" s="6" t="n">
        <f aca="false">SUMIFS('일반 서보 버전'!$J$6:$J$26,'일반 서보 버전'!$A$6:$A$26,A9)</f>
        <v>36300</v>
      </c>
    </row>
    <row r="10" customFormat="false" ht="15" hidden="false" customHeight="false" outlineLevel="0" collapsed="false">
      <c r="A10" s="3" t="s">
        <v>10</v>
      </c>
      <c r="B10" s="6" t="n">
        <f aca="false">SUMIFS(오리지널!$J$6:$J$36,오리지널!$A$6:$A$36,A10)</f>
        <v>126642</v>
      </c>
      <c r="C10" s="6" t="n">
        <f aca="false">SUMIFS('저렴한 버전'!$J$6:$J$26,'저렴한 버전'!$A$6:$A$26,A10)</f>
        <v>37356</v>
      </c>
      <c r="D10" s="6" t="n">
        <f aca="false">SUMIFS('일반 서보 버전'!$J$6:$J$26,'일반 서보 버전'!$A$6:$A$26,A10)</f>
        <v>32000</v>
      </c>
    </row>
    <row r="11" customFormat="false" ht="15" hidden="false" customHeight="false" outlineLevel="0" collapsed="false">
      <c r="A11" s="3" t="s">
        <v>11</v>
      </c>
      <c r="B11" s="6" t="n">
        <f aca="false">SUMIFS(오리지널!$J$6:$J$36,오리지널!$A$6:$A$36,A11)</f>
        <v>7000</v>
      </c>
      <c r="C11" s="6" t="n">
        <f aca="false">SUMIFS('저렴한 버전'!$J$6:$J$26,'저렴한 버전'!$A$6:$A$26,A11)</f>
        <v>0</v>
      </c>
      <c r="D11" s="6" t="n">
        <f aca="false">SUMIFS('일반 서보 버전'!$J$6:$J$26,'일반 서보 버전'!$A$6:$A$26,A11)</f>
        <v>0</v>
      </c>
    </row>
    <row r="12" customFormat="false" ht="15" hidden="false" customHeight="false" outlineLevel="0" collapsed="false">
      <c r="A12" s="3" t="s">
        <v>12</v>
      </c>
      <c r="B12" s="6" t="n">
        <f aca="false">SUMIFS(오리지널!$J$6:$J$36,오리지널!$A$6:$A$36,A12)</f>
        <v>60500</v>
      </c>
      <c r="C12" s="6" t="n">
        <f aca="false">SUMIFS('저렴한 버전'!$J$6:$J$26,'저렴한 버전'!$A$6:$A$26,A12)</f>
        <v>33000</v>
      </c>
      <c r="D12" s="6" t="n">
        <f aca="false">SUMIFS('일반 서보 버전'!$J$6:$J$26,'일반 서보 버전'!$A$6:$A$26,A12)</f>
        <v>50000</v>
      </c>
    </row>
    <row r="13" customFormat="false" ht="15" hidden="false" customHeight="false" outlineLevel="0" collapsed="false">
      <c r="A13" s="3" t="s">
        <v>13</v>
      </c>
      <c r="B13" s="6" t="n">
        <f aca="false">SUMIFS(오리지널!$J$6:$J$36,오리지널!$A$6:$A$36,A13)</f>
        <v>15230</v>
      </c>
      <c r="C13" s="6" t="n">
        <f aca="false">SUMIFS('저렴한 버전'!$J$6:$J$26,'저렴한 버전'!$A$6:$A$26,A13)</f>
        <v>14810</v>
      </c>
      <c r="D13" s="6" t="n">
        <f aca="false">SUMIFS('일반 서보 버전'!$J$6:$J$26,'일반 서보 버전'!$A$6:$A$26,A13)</f>
        <v>0</v>
      </c>
    </row>
    <row r="14" customFormat="false" ht="15" hidden="false" customHeight="false" outlineLevel="0" collapsed="false">
      <c r="A14" s="3" t="s">
        <v>14</v>
      </c>
      <c r="B14" s="6" t="n">
        <f aca="false">SUMIFS(오리지널!$J$6:$J$36,오리지널!$A$6:$A$36,A14)</f>
        <v>69600</v>
      </c>
      <c r="C14" s="6" t="n">
        <f aca="false">SUMIFS('저렴한 버전'!$J$6:$J$26,'저렴한 버전'!$A$6:$A$26,A14)</f>
        <v>33400</v>
      </c>
      <c r="D14" s="6" t="n">
        <f aca="false">SUMIFS('일반 서보 버전'!$J$6:$J$26,'일반 서보 버전'!$A$6:$A$26,A14)</f>
        <v>14000</v>
      </c>
    </row>
    <row r="15" customFormat="false" ht="15" hidden="false" customHeight="false" outlineLevel="0" collapsed="false">
      <c r="A15" s="3" t="s">
        <v>15</v>
      </c>
      <c r="B15" s="6" t="n">
        <f aca="false">SUMIFS(오리지널!$J$6:$J$36,오리지널!$A$6:$A$36,A15)</f>
        <v>33000</v>
      </c>
      <c r="C15" s="6" t="n">
        <f aca="false">SUMIFS('저렴한 버전'!$J$6:$J$26,'저렴한 버전'!$A$6:$A$26,A15)</f>
        <v>33000</v>
      </c>
      <c r="D15" s="6" t="n">
        <f aca="false">SUMIFS('일반 서보 버전'!$J$6:$J$26,'일반 서보 버전'!$A$6:$A$26,A15)</f>
        <v>33000</v>
      </c>
    </row>
    <row r="16" customFormat="false" ht="15" hidden="false" customHeight="false" outlineLevel="0" collapsed="false">
      <c r="A16" s="3" t="s">
        <v>16</v>
      </c>
      <c r="B16" s="6" t="n">
        <f aca="false">SUMIFS(오리지널!$J$6:$J$36,오리지널!$A$6:$A$36,A16)</f>
        <v>55000</v>
      </c>
      <c r="C16" s="6" t="n">
        <f aca="false">SUMIFS('저렴한 버전'!$J$6:$J$26,'저렴한 버전'!$A$6:$A$26,A16)</f>
        <v>0</v>
      </c>
      <c r="D16" s="6" t="n">
        <f aca="false">SUMIFS('일반 서보 버전'!$J$6:$J$26,'일반 서보 버전'!$A$6:$A$26,A16)</f>
        <v>0</v>
      </c>
    </row>
    <row r="17" customFormat="false" ht="15" hidden="false" customHeight="false" outlineLevel="0" collapsed="false">
      <c r="A17" s="3" t="s">
        <v>17</v>
      </c>
      <c r="B17" s="6" t="n">
        <f aca="false">SUMIFS(오리지널!$J$6:$J$36,오리지널!$A$6:$A$36,A17)</f>
        <v>0</v>
      </c>
      <c r="C17" s="6" t="n">
        <f aca="false">SUMIFS('저렴한 버전'!$J$6:$J$26,'저렴한 버전'!$A$6:$A$26,A17)</f>
        <v>0</v>
      </c>
      <c r="D17" s="6" t="n">
        <f aca="false">SUMIFS('일반 서보 버전'!$J$6:$J$26,'일반 서보 버전'!$A$6:$A$26,A17)</f>
        <v>9000</v>
      </c>
    </row>
    <row r="18" customFormat="false" ht="15" hidden="false" customHeight="false" outlineLevel="0" collapsed="false">
      <c r="A18" s="7" t="s">
        <v>18</v>
      </c>
      <c r="B18" s="8" t="n">
        <f aca="false">오리지널!$J$38</f>
        <v>896602</v>
      </c>
      <c r="C18" s="8" t="n">
        <f aca="false">'저렴한 버전'!$J$28</f>
        <v>560666</v>
      </c>
      <c r="D18" s="8" t="n">
        <f aca="false">'일반 서보 버전'!$J$28</f>
        <v>275300</v>
      </c>
    </row>
    <row r="19" customFormat="false" ht="15" hidden="false" customHeight="false" outlineLevel="0" collapsed="false">
      <c r="A19" s="3" t="s">
        <v>19</v>
      </c>
      <c r="B19" s="6" t="n">
        <f aca="false">오리지널!$J$6</f>
        <v>422400</v>
      </c>
      <c r="C19" s="6" t="n">
        <f aca="false">'저렴한 버전'!$J$6</f>
        <v>369600</v>
      </c>
      <c r="D19" s="6" t="n">
        <f aca="false">'일반 서보 버전'!$J$6</f>
        <v>65000</v>
      </c>
    </row>
    <row r="21" customFormat="false" ht="15" hidden="false" customHeight="false" outlineLevel="0" collapsed="false">
      <c r="A21" s="5" t="s">
        <v>20</v>
      </c>
      <c r="B21" s="5" t="s">
        <v>5</v>
      </c>
      <c r="C21" s="5" t="s">
        <v>6</v>
      </c>
      <c r="D21" s="5" t="s">
        <v>7</v>
      </c>
    </row>
    <row r="22" customFormat="false" ht="15" hidden="false" customHeight="false" outlineLevel="0" collapsed="false">
      <c r="A22" s="9" t="s">
        <v>21</v>
      </c>
      <c r="B22" s="10" t="s">
        <v>22</v>
      </c>
      <c r="C22" s="10" t="s">
        <v>23</v>
      </c>
      <c r="D22" s="10" t="s">
        <v>24</v>
      </c>
    </row>
    <row r="23" customFormat="false" ht="15" hidden="false" customHeight="false" outlineLevel="0" collapsed="false">
      <c r="A23" s="9" t="s">
        <v>25</v>
      </c>
      <c r="B23" s="10" t="s">
        <v>26</v>
      </c>
      <c r="C23" s="10" t="s">
        <v>26</v>
      </c>
      <c r="D23" s="9" t="s">
        <v>27</v>
      </c>
    </row>
    <row r="24" customFormat="false" ht="15" hidden="false" customHeight="false" outlineLevel="0" collapsed="false">
      <c r="A24" s="9" t="s">
        <v>28</v>
      </c>
      <c r="B24" s="9" t="s">
        <v>29</v>
      </c>
      <c r="C24" s="9" t="s">
        <v>29</v>
      </c>
      <c r="D24" s="9" t="s">
        <v>30</v>
      </c>
    </row>
    <row r="25" customFormat="false" ht="15" hidden="false" customHeight="false" outlineLevel="0" collapsed="false">
      <c r="A25" s="9" t="s">
        <v>31</v>
      </c>
      <c r="B25" s="10" t="s">
        <v>32</v>
      </c>
      <c r="C25" s="10" t="s">
        <v>32</v>
      </c>
      <c r="D25" s="10" t="s">
        <v>33</v>
      </c>
    </row>
    <row r="26" customFormat="false" ht="15" hidden="false" customHeight="false" outlineLevel="0" collapsed="false">
      <c r="A26" s="9" t="s">
        <v>10</v>
      </c>
      <c r="B26" s="10" t="s">
        <v>34</v>
      </c>
      <c r="C26" s="10" t="s">
        <v>35</v>
      </c>
      <c r="D26" s="10" t="s">
        <v>36</v>
      </c>
    </row>
    <row r="27" customFormat="false" ht="15" hidden="false" customHeight="false" outlineLevel="0" collapsed="false">
      <c r="A27" s="9" t="s">
        <v>37</v>
      </c>
      <c r="B27" s="9" t="s">
        <v>38</v>
      </c>
      <c r="C27" s="9" t="s">
        <v>39</v>
      </c>
      <c r="D27" s="9" t="s">
        <v>39</v>
      </c>
    </row>
    <row r="28" customFormat="false" ht="15" hidden="false" customHeight="false" outlineLevel="0" collapsed="false">
      <c r="A28" s="10" t="s">
        <v>40</v>
      </c>
      <c r="B28" s="10" t="s">
        <v>41</v>
      </c>
      <c r="C28" s="10" t="s">
        <v>41</v>
      </c>
      <c r="D28" s="10" t="s">
        <v>42</v>
      </c>
    </row>
    <row r="29" customFormat="false" ht="15" hidden="false" customHeight="false" outlineLevel="0" collapsed="false">
      <c r="A29" s="9" t="s">
        <v>43</v>
      </c>
      <c r="B29" s="10" t="s">
        <v>44</v>
      </c>
      <c r="C29" s="9" t="s">
        <v>45</v>
      </c>
      <c r="D29" s="9" t="s">
        <v>46</v>
      </c>
    </row>
    <row r="30" customFormat="false" ht="15" hidden="false" customHeight="false" outlineLevel="0" collapsed="false">
      <c r="A30" s="9" t="s">
        <v>47</v>
      </c>
      <c r="B30" s="9" t="s">
        <v>48</v>
      </c>
      <c r="C30" s="9" t="s">
        <v>48</v>
      </c>
      <c r="D30" s="9" t="s">
        <v>49</v>
      </c>
    </row>
    <row r="32" customFormat="false" ht="15" hidden="false" customHeight="false" outlineLevel="0" collapsed="false">
      <c r="A32" s="11" t="s">
        <v>50</v>
      </c>
    </row>
    <row r="33" customFormat="false" ht="15" hidden="false" customHeight="false" outlineLevel="0" collapsed="false">
      <c r="A33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5" min="4" style="0" width="6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2"/>
    <col collapsed="false" customWidth="true" hidden="false" outlineLevel="0" max="13" min="13" style="0" width="40"/>
    <col collapsed="false" customWidth="true" hidden="false" outlineLevel="0" max="14" min="14" style="0" width="8"/>
    <col collapsed="false" customWidth="true" hidden="false" outlineLevel="0" max="15" min="15" style="0" width="50"/>
    <col collapsed="false" customWidth="true" hidden="false" outlineLevel="0" max="16" min="16" style="0" width="60"/>
  </cols>
  <sheetData>
    <row r="1" customFormat="false" ht="21.6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5" customFormat="false" ht="15" hidden="false" customHeight="false" outlineLevel="0" collapsed="false">
      <c r="A5" s="12" t="s">
        <v>4</v>
      </c>
      <c r="B5" s="12" t="s">
        <v>55</v>
      </c>
      <c r="C5" s="12" t="s">
        <v>56</v>
      </c>
      <c r="D5" s="12" t="s">
        <v>57</v>
      </c>
      <c r="E5" s="12" t="s">
        <v>58</v>
      </c>
      <c r="F5" s="12" t="s">
        <v>59</v>
      </c>
      <c r="G5" s="12" t="s">
        <v>60</v>
      </c>
      <c r="H5" s="12" t="s">
        <v>61</v>
      </c>
      <c r="I5" s="12" t="s">
        <v>62</v>
      </c>
      <c r="J5" s="12" t="s">
        <v>63</v>
      </c>
      <c r="K5" s="12" t="s">
        <v>64</v>
      </c>
      <c r="L5" s="12" t="s">
        <v>65</v>
      </c>
      <c r="M5" s="12" t="s">
        <v>66</v>
      </c>
      <c r="N5" s="12" t="s">
        <v>67</v>
      </c>
      <c r="O5" s="12" t="s">
        <v>68</v>
      </c>
      <c r="P5" s="12" t="s">
        <v>69</v>
      </c>
    </row>
    <row r="6" customFormat="false" ht="38.05" hidden="false" customHeight="false" outlineLevel="0" collapsed="false">
      <c r="A6" s="13" t="s">
        <v>8</v>
      </c>
      <c r="B6" s="13" t="s">
        <v>70</v>
      </c>
      <c r="C6" s="14" t="s">
        <v>71</v>
      </c>
      <c r="D6" s="15" t="n">
        <v>15</v>
      </c>
      <c r="E6" s="15" t="n">
        <v>1</v>
      </c>
      <c r="F6" s="13" t="n">
        <f aca="false">D6+E6*비교!$C$5</f>
        <v>16</v>
      </c>
      <c r="G6" s="16" t="n">
        <v>26400</v>
      </c>
      <c r="H6" s="17" t="s">
        <v>72</v>
      </c>
      <c r="I6" s="18" t="n">
        <f aca="false">IF(H6="USD",G6*비교!$C$4,G6)</f>
        <v>26400</v>
      </c>
      <c r="J6" s="18" t="n">
        <f aca="false">F6*I6</f>
        <v>422400</v>
      </c>
      <c r="K6" s="13" t="s">
        <v>73</v>
      </c>
      <c r="L6" s="13" t="s">
        <v>74</v>
      </c>
      <c r="M6" s="19" t="s">
        <v>75</v>
      </c>
      <c r="N6" s="13" t="s">
        <v>76</v>
      </c>
      <c r="O6" s="20" t="s">
        <v>77</v>
      </c>
      <c r="P6" s="20" t="s">
        <v>78</v>
      </c>
    </row>
    <row r="7" customFormat="false" ht="15" hidden="false" customHeight="false" outlineLevel="0" collapsed="false">
      <c r="A7" s="13" t="s">
        <v>8</v>
      </c>
      <c r="B7" s="13" t="s">
        <v>79</v>
      </c>
      <c r="C7" s="14" t="s">
        <v>80</v>
      </c>
      <c r="D7" s="15" t="n">
        <v>1</v>
      </c>
      <c r="E7" s="15" t="n">
        <v>0</v>
      </c>
      <c r="F7" s="13" t="n">
        <f aca="false">D7+E7*비교!$C$5</f>
        <v>1</v>
      </c>
      <c r="G7" s="16" t="n">
        <v>36300</v>
      </c>
      <c r="H7" s="17" t="s">
        <v>72</v>
      </c>
      <c r="I7" s="18" t="n">
        <f aca="false">IF(H7="USD",G7*비교!$C$4,G7)</f>
        <v>36300</v>
      </c>
      <c r="J7" s="18" t="n">
        <f aca="false">F7*I7</f>
        <v>36300</v>
      </c>
      <c r="K7" s="13" t="s">
        <v>73</v>
      </c>
      <c r="L7" s="13" t="s">
        <v>74</v>
      </c>
      <c r="M7" s="19" t="s">
        <v>81</v>
      </c>
      <c r="N7" s="13" t="s">
        <v>76</v>
      </c>
      <c r="O7" s="20"/>
      <c r="P7" s="20" t="s">
        <v>82</v>
      </c>
    </row>
    <row r="8" customFormat="false" ht="15" hidden="false" customHeight="false" outlineLevel="0" collapsed="false">
      <c r="A8" s="13" t="s">
        <v>8</v>
      </c>
      <c r="B8" s="17" t="s">
        <v>83</v>
      </c>
      <c r="C8" s="14" t="s">
        <v>84</v>
      </c>
      <c r="D8" s="15" t="n">
        <v>1</v>
      </c>
      <c r="E8" s="15" t="n">
        <v>0</v>
      </c>
      <c r="F8" s="13" t="n">
        <f aca="false">D8+E8*비교!$C$5</f>
        <v>1</v>
      </c>
      <c r="G8" s="16" t="n">
        <v>21780</v>
      </c>
      <c r="H8" s="17" t="s">
        <v>72</v>
      </c>
      <c r="I8" s="18" t="n">
        <f aca="false">IF(H8="USD",G8*비교!$C$4,G8)</f>
        <v>21780</v>
      </c>
      <c r="J8" s="18" t="n">
        <f aca="false">F8*I8</f>
        <v>21780</v>
      </c>
      <c r="K8" s="13" t="s">
        <v>73</v>
      </c>
      <c r="L8" s="13" t="s">
        <v>74</v>
      </c>
      <c r="M8" s="19" t="s">
        <v>85</v>
      </c>
      <c r="N8" s="13" t="s">
        <v>86</v>
      </c>
      <c r="O8" s="20"/>
      <c r="P8" s="20" t="s">
        <v>87</v>
      </c>
    </row>
    <row r="9" customFormat="false" ht="38.05" hidden="false" customHeight="false" outlineLevel="0" collapsed="false">
      <c r="A9" s="13" t="s">
        <v>8</v>
      </c>
      <c r="B9" s="13" t="s">
        <v>88</v>
      </c>
      <c r="C9" s="20" t="s">
        <v>89</v>
      </c>
      <c r="D9" s="15" t="n">
        <v>1</v>
      </c>
      <c r="E9" s="15" t="n">
        <v>0</v>
      </c>
      <c r="F9" s="13" t="n">
        <f aca="false">D9+E9*비교!$C$5</f>
        <v>1</v>
      </c>
      <c r="G9" s="16" t="n">
        <v>18150</v>
      </c>
      <c r="H9" s="17" t="s">
        <v>72</v>
      </c>
      <c r="I9" s="18" t="n">
        <f aca="false">IF(H9="USD",G9*비교!$C$4,G9)</f>
        <v>18150</v>
      </c>
      <c r="J9" s="18" t="n">
        <f aca="false">F9*I9</f>
        <v>18150</v>
      </c>
      <c r="K9" s="13" t="s">
        <v>73</v>
      </c>
      <c r="L9" s="13" t="s">
        <v>74</v>
      </c>
      <c r="M9" s="19" t="s">
        <v>85</v>
      </c>
      <c r="N9" s="13" t="s">
        <v>86</v>
      </c>
      <c r="O9" s="20" t="s">
        <v>90</v>
      </c>
      <c r="P9" s="20" t="s">
        <v>91</v>
      </c>
    </row>
    <row r="10" customFormat="false" ht="44" hidden="false" customHeight="false" outlineLevel="0" collapsed="false">
      <c r="A10" s="21" t="s">
        <v>9</v>
      </c>
      <c r="B10" s="21" t="s">
        <v>92</v>
      </c>
      <c r="C10" s="22" t="s">
        <v>93</v>
      </c>
      <c r="D10" s="23" t="n">
        <v>1</v>
      </c>
      <c r="E10" s="23" t="n">
        <v>0</v>
      </c>
      <c r="F10" s="21" t="n">
        <f aca="false">D10+E10*비교!$C$5</f>
        <v>1</v>
      </c>
      <c r="G10" s="24" t="n">
        <v>20</v>
      </c>
      <c r="H10" s="25" t="s">
        <v>94</v>
      </c>
      <c r="I10" s="26" t="n">
        <f aca="false">IF(H10="USD",G10*비교!$C$4,G10)</f>
        <v>28000</v>
      </c>
      <c r="J10" s="26" t="n">
        <f aca="false">F10*I10</f>
        <v>28000</v>
      </c>
      <c r="K10" s="21" t="s">
        <v>73</v>
      </c>
      <c r="L10" s="25" t="s">
        <v>95</v>
      </c>
      <c r="M10" s="27" t="s">
        <v>96</v>
      </c>
      <c r="N10" s="21" t="s">
        <v>76</v>
      </c>
      <c r="O10" s="28" t="s">
        <v>97</v>
      </c>
      <c r="P10" s="22" t="s">
        <v>98</v>
      </c>
    </row>
    <row r="11" customFormat="false" ht="15" hidden="false" customHeight="false" outlineLevel="0" collapsed="false">
      <c r="A11" s="13" t="s">
        <v>9</v>
      </c>
      <c r="B11" s="13" t="s">
        <v>99</v>
      </c>
      <c r="C11" s="14" t="s">
        <v>100</v>
      </c>
      <c r="D11" s="15" t="n">
        <v>1</v>
      </c>
      <c r="E11" s="15" t="n">
        <v>0</v>
      </c>
      <c r="F11" s="13" t="n">
        <f aca="false">D11+E11*비교!$C$5</f>
        <v>1</v>
      </c>
      <c r="G11" s="16" t="n">
        <v>3000</v>
      </c>
      <c r="H11" s="17" t="s">
        <v>72</v>
      </c>
      <c r="I11" s="18" t="n">
        <f aca="false">IF(H11="USD",G11*비교!$C$4,G11)</f>
        <v>3000</v>
      </c>
      <c r="J11" s="18" t="n">
        <f aca="false">F11*I11</f>
        <v>3000</v>
      </c>
      <c r="K11" s="13" t="s">
        <v>101</v>
      </c>
      <c r="L11" s="13" t="s">
        <v>102</v>
      </c>
      <c r="M11" s="19" t="s">
        <v>103</v>
      </c>
      <c r="N11" s="13" t="s">
        <v>76</v>
      </c>
      <c r="O11" s="20"/>
      <c r="P11" s="20" t="s">
        <v>104</v>
      </c>
    </row>
    <row r="12" customFormat="false" ht="26.85" hidden="false" customHeight="false" outlineLevel="0" collapsed="false">
      <c r="A12" s="13" t="s">
        <v>10</v>
      </c>
      <c r="B12" s="13" t="s">
        <v>105</v>
      </c>
      <c r="C12" s="14" t="s">
        <v>106</v>
      </c>
      <c r="D12" s="15" t="n">
        <v>1</v>
      </c>
      <c r="E12" s="15" t="n">
        <v>1</v>
      </c>
      <c r="F12" s="13" t="n">
        <f aca="false">D12+E12*비교!$C$5</f>
        <v>2</v>
      </c>
      <c r="G12" s="29" t="n">
        <v>24.54</v>
      </c>
      <c r="H12" s="17" t="s">
        <v>94</v>
      </c>
      <c r="I12" s="18" t="n">
        <f aca="false">IF(H12="USD",G12*비교!$C$4,G12)</f>
        <v>34356</v>
      </c>
      <c r="J12" s="18" t="n">
        <f aca="false">F12*I12</f>
        <v>68712</v>
      </c>
      <c r="K12" s="13" t="s">
        <v>73</v>
      </c>
      <c r="L12" s="17" t="s">
        <v>107</v>
      </c>
      <c r="M12" s="19" t="s">
        <v>108</v>
      </c>
      <c r="N12" s="13" t="s">
        <v>76</v>
      </c>
      <c r="O12" s="20" t="s">
        <v>109</v>
      </c>
      <c r="P12" s="20" t="s">
        <v>110</v>
      </c>
    </row>
    <row r="13" customFormat="false" ht="26.85" hidden="false" customHeight="false" outlineLevel="0" collapsed="false">
      <c r="A13" s="13" t="s">
        <v>10</v>
      </c>
      <c r="B13" s="17" t="s">
        <v>111</v>
      </c>
      <c r="C13" s="14" t="s">
        <v>112</v>
      </c>
      <c r="D13" s="15" t="n">
        <v>1</v>
      </c>
      <c r="E13" s="15" t="n">
        <v>1</v>
      </c>
      <c r="F13" s="13" t="n">
        <f aca="false">D13+E13*비교!$C$5</f>
        <v>2</v>
      </c>
      <c r="G13" s="16" t="n">
        <v>3000</v>
      </c>
      <c r="H13" s="17" t="s">
        <v>72</v>
      </c>
      <c r="I13" s="18" t="n">
        <f aca="false">IF(H13="USD",G13*비교!$C$4,G13)</f>
        <v>3000</v>
      </c>
      <c r="J13" s="18" t="n">
        <f aca="false">F13*I13</f>
        <v>6000</v>
      </c>
      <c r="K13" s="13" t="s">
        <v>101</v>
      </c>
      <c r="L13" s="13" t="s">
        <v>113</v>
      </c>
      <c r="M13" s="19" t="s">
        <v>114</v>
      </c>
      <c r="N13" s="13" t="s">
        <v>115</v>
      </c>
      <c r="O13" s="20" t="s">
        <v>116</v>
      </c>
      <c r="P13" s="20" t="s">
        <v>117</v>
      </c>
    </row>
    <row r="14" customFormat="false" ht="15" hidden="false" customHeight="false" outlineLevel="0" collapsed="false">
      <c r="A14" s="13" t="s">
        <v>10</v>
      </c>
      <c r="B14" s="17" t="s">
        <v>118</v>
      </c>
      <c r="C14" s="14" t="s">
        <v>119</v>
      </c>
      <c r="D14" s="15" t="n">
        <v>1</v>
      </c>
      <c r="E14" s="15" t="n">
        <v>0</v>
      </c>
      <c r="F14" s="13" t="n">
        <f aca="false">D14+E14*비교!$C$5</f>
        <v>1</v>
      </c>
      <c r="G14" s="29" t="n">
        <v>24.95</v>
      </c>
      <c r="H14" s="17" t="s">
        <v>94</v>
      </c>
      <c r="I14" s="18" t="n">
        <f aca="false">IF(H14="USD",G14*비교!$C$4,G14)</f>
        <v>34930</v>
      </c>
      <c r="J14" s="18" t="n">
        <f aca="false">F14*I14</f>
        <v>34930</v>
      </c>
      <c r="K14" s="13" t="s">
        <v>73</v>
      </c>
      <c r="L14" s="17" t="s">
        <v>120</v>
      </c>
      <c r="M14" s="19" t="s">
        <v>121</v>
      </c>
      <c r="N14" s="13" t="s">
        <v>76</v>
      </c>
      <c r="O14" s="14" t="s">
        <v>122</v>
      </c>
      <c r="P14" s="20" t="s">
        <v>123</v>
      </c>
    </row>
    <row r="15" customFormat="false" ht="38.05" hidden="false" customHeight="false" outlineLevel="0" collapsed="false">
      <c r="A15" s="13" t="s">
        <v>10</v>
      </c>
      <c r="B15" s="13" t="s">
        <v>124</v>
      </c>
      <c r="C15" s="14" t="s">
        <v>125</v>
      </c>
      <c r="D15" s="15" t="n">
        <v>1</v>
      </c>
      <c r="E15" s="15" t="n">
        <v>0</v>
      </c>
      <c r="F15" s="13" t="n">
        <f aca="false">D15+E15*비교!$C$5</f>
        <v>1</v>
      </c>
      <c r="G15" s="16" t="n">
        <v>15000</v>
      </c>
      <c r="H15" s="17" t="s">
        <v>72</v>
      </c>
      <c r="I15" s="18" t="n">
        <f aca="false">IF(H15="USD",G15*비교!$C$4,G15)</f>
        <v>15000</v>
      </c>
      <c r="J15" s="18" t="n">
        <f aca="false">F15*I15</f>
        <v>15000</v>
      </c>
      <c r="K15" s="13" t="s">
        <v>101</v>
      </c>
      <c r="L15" s="13" t="s">
        <v>102</v>
      </c>
      <c r="M15" s="19" t="s">
        <v>126</v>
      </c>
      <c r="N15" s="13" t="s">
        <v>115</v>
      </c>
      <c r="O15" s="20" t="s">
        <v>127</v>
      </c>
      <c r="P15" s="14" t="s">
        <v>128</v>
      </c>
    </row>
    <row r="16" customFormat="false" ht="15" hidden="false" customHeight="false" outlineLevel="0" collapsed="false">
      <c r="A16" s="13" t="s">
        <v>10</v>
      </c>
      <c r="B16" s="17" t="s">
        <v>129</v>
      </c>
      <c r="C16" s="14" t="s">
        <v>130</v>
      </c>
      <c r="D16" s="15" t="n">
        <v>1</v>
      </c>
      <c r="E16" s="15" t="n">
        <v>0</v>
      </c>
      <c r="F16" s="13" t="n">
        <f aca="false">D16+E16*비교!$C$5</f>
        <v>1</v>
      </c>
      <c r="G16" s="16" t="n">
        <v>2000</v>
      </c>
      <c r="H16" s="17" t="s">
        <v>72</v>
      </c>
      <c r="I16" s="18" t="n">
        <f aca="false">IF(H16="USD",G16*비교!$C$4,G16)</f>
        <v>2000</v>
      </c>
      <c r="J16" s="18" t="n">
        <f aca="false">F16*I16</f>
        <v>2000</v>
      </c>
      <c r="K16" s="13" t="s">
        <v>101</v>
      </c>
      <c r="L16" s="13" t="s">
        <v>102</v>
      </c>
      <c r="M16" s="19" t="s">
        <v>131</v>
      </c>
      <c r="N16" s="13" t="s">
        <v>115</v>
      </c>
      <c r="O16" s="20"/>
      <c r="P16" s="14" t="s">
        <v>132</v>
      </c>
    </row>
    <row r="17" customFormat="false" ht="15" hidden="false" customHeight="false" outlineLevel="0" collapsed="false">
      <c r="A17" s="13" t="s">
        <v>11</v>
      </c>
      <c r="B17" s="13" t="s">
        <v>133</v>
      </c>
      <c r="C17" s="14" t="s">
        <v>134</v>
      </c>
      <c r="D17" s="15" t="n">
        <v>1</v>
      </c>
      <c r="E17" s="15" t="n">
        <v>0</v>
      </c>
      <c r="F17" s="13" t="n">
        <f aca="false">D17+E17*비교!$C$5</f>
        <v>1</v>
      </c>
      <c r="G17" s="29" t="n">
        <v>2.5</v>
      </c>
      <c r="H17" s="17" t="s">
        <v>94</v>
      </c>
      <c r="I17" s="18" t="n">
        <f aca="false">IF(H17="USD",G17*비교!$C$4,G17)</f>
        <v>3500</v>
      </c>
      <c r="J17" s="18" t="n">
        <f aca="false">F17*I17</f>
        <v>3500</v>
      </c>
      <c r="K17" s="13" t="s">
        <v>101</v>
      </c>
      <c r="L17" s="17" t="s">
        <v>135</v>
      </c>
      <c r="M17" s="19" t="s">
        <v>136</v>
      </c>
      <c r="N17" s="13" t="s">
        <v>115</v>
      </c>
      <c r="O17" s="20"/>
      <c r="P17" s="20" t="s">
        <v>137</v>
      </c>
    </row>
    <row r="18" customFormat="false" ht="15" hidden="false" customHeight="false" outlineLevel="0" collapsed="false">
      <c r="A18" s="13" t="s">
        <v>11</v>
      </c>
      <c r="B18" s="13" t="s">
        <v>138</v>
      </c>
      <c r="C18" s="14" t="s">
        <v>139</v>
      </c>
      <c r="D18" s="15" t="n">
        <v>1</v>
      </c>
      <c r="E18" s="15" t="n">
        <v>0</v>
      </c>
      <c r="F18" s="13" t="n">
        <f aca="false">D18+E18*비교!$C$5</f>
        <v>1</v>
      </c>
      <c r="G18" s="16" t="n">
        <v>1500</v>
      </c>
      <c r="H18" s="17" t="s">
        <v>72</v>
      </c>
      <c r="I18" s="18" t="n">
        <f aca="false">IF(H18="USD",G18*비교!$C$4,G18)</f>
        <v>1500</v>
      </c>
      <c r="J18" s="18" t="n">
        <f aca="false">F18*I18</f>
        <v>1500</v>
      </c>
      <c r="K18" s="13" t="s">
        <v>101</v>
      </c>
      <c r="L18" s="13" t="s">
        <v>113</v>
      </c>
      <c r="M18" s="19" t="s">
        <v>140</v>
      </c>
      <c r="N18" s="13" t="s">
        <v>115</v>
      </c>
      <c r="O18" s="20"/>
      <c r="P18" s="20" t="s">
        <v>141</v>
      </c>
    </row>
    <row r="19" customFormat="false" ht="15" hidden="false" customHeight="false" outlineLevel="0" collapsed="false">
      <c r="A19" s="13" t="s">
        <v>11</v>
      </c>
      <c r="B19" s="13" t="s">
        <v>142</v>
      </c>
      <c r="C19" s="14" t="s">
        <v>143</v>
      </c>
      <c r="D19" s="15" t="n">
        <v>1</v>
      </c>
      <c r="E19" s="15" t="n">
        <v>0</v>
      </c>
      <c r="F19" s="13" t="n">
        <f aca="false">D19+E19*비교!$C$5</f>
        <v>1</v>
      </c>
      <c r="G19" s="16" t="n">
        <v>2000</v>
      </c>
      <c r="H19" s="17" t="s">
        <v>72</v>
      </c>
      <c r="I19" s="18" t="n">
        <f aca="false">IF(H19="USD",G19*비교!$C$4,G19)</f>
        <v>2000</v>
      </c>
      <c r="J19" s="18" t="n">
        <f aca="false">F19*I19</f>
        <v>2000</v>
      </c>
      <c r="K19" s="13" t="s">
        <v>101</v>
      </c>
      <c r="L19" s="13" t="s">
        <v>113</v>
      </c>
      <c r="M19" s="19" t="s">
        <v>144</v>
      </c>
      <c r="N19" s="13" t="s">
        <v>115</v>
      </c>
      <c r="O19" s="20"/>
      <c r="P19" s="20"/>
    </row>
    <row r="20" customFormat="false" ht="38.05" hidden="false" customHeight="false" outlineLevel="0" collapsed="false">
      <c r="A20" s="13" t="s">
        <v>12</v>
      </c>
      <c r="B20" s="13" t="s">
        <v>145</v>
      </c>
      <c r="C20" s="14" t="s">
        <v>146</v>
      </c>
      <c r="D20" s="15" t="n">
        <v>1</v>
      </c>
      <c r="E20" s="15" t="n">
        <v>1</v>
      </c>
      <c r="F20" s="13" t="n">
        <f aca="false">D20+E20*비교!$C$5</f>
        <v>2</v>
      </c>
      <c r="G20" s="16" t="n">
        <v>25000</v>
      </c>
      <c r="H20" s="17" t="s">
        <v>72</v>
      </c>
      <c r="I20" s="18" t="n">
        <f aca="false">IF(H20="USD",G20*비교!$C$4,G20)</f>
        <v>25000</v>
      </c>
      <c r="J20" s="18" t="n">
        <f aca="false">F20*I20</f>
        <v>50000</v>
      </c>
      <c r="K20" s="13" t="s">
        <v>101</v>
      </c>
      <c r="L20" s="13" t="s">
        <v>113</v>
      </c>
      <c r="M20" s="19" t="s">
        <v>147</v>
      </c>
      <c r="N20" s="13" t="s">
        <v>115</v>
      </c>
      <c r="O20" s="14" t="s">
        <v>148</v>
      </c>
      <c r="P20" s="20" t="s">
        <v>149</v>
      </c>
    </row>
    <row r="21" customFormat="false" ht="49.25" hidden="false" customHeight="false" outlineLevel="0" collapsed="false">
      <c r="A21" s="13" t="s">
        <v>12</v>
      </c>
      <c r="B21" s="13" t="s">
        <v>150</v>
      </c>
      <c r="C21" s="14" t="s">
        <v>151</v>
      </c>
      <c r="D21" s="15" t="n">
        <v>1</v>
      </c>
      <c r="E21" s="15" t="n">
        <v>0</v>
      </c>
      <c r="F21" s="13" t="n">
        <f aca="false">D21+E21*비교!$C$5</f>
        <v>1</v>
      </c>
      <c r="G21" s="16" t="n">
        <v>4000</v>
      </c>
      <c r="H21" s="17" t="s">
        <v>72</v>
      </c>
      <c r="I21" s="18" t="n">
        <f aca="false">IF(H21="USD",G21*비교!$C$4,G21)</f>
        <v>4000</v>
      </c>
      <c r="J21" s="18" t="n">
        <f aca="false">F21*I21</f>
        <v>4000</v>
      </c>
      <c r="K21" s="13" t="s">
        <v>101</v>
      </c>
      <c r="L21" s="13" t="s">
        <v>102</v>
      </c>
      <c r="M21" s="19" t="s">
        <v>152</v>
      </c>
      <c r="N21" s="13" t="s">
        <v>115</v>
      </c>
      <c r="O21" s="20" t="s">
        <v>153</v>
      </c>
      <c r="P21" s="20" t="s">
        <v>154</v>
      </c>
    </row>
    <row r="22" customFormat="false" ht="15" hidden="false" customHeight="false" outlineLevel="0" collapsed="false">
      <c r="A22" s="13" t="s">
        <v>12</v>
      </c>
      <c r="B22" s="17" t="s">
        <v>155</v>
      </c>
      <c r="C22" s="14" t="s">
        <v>156</v>
      </c>
      <c r="D22" s="15" t="n">
        <v>1</v>
      </c>
      <c r="E22" s="15" t="n">
        <v>1</v>
      </c>
      <c r="F22" s="13" t="n">
        <f aca="false">D22+E22*비교!$C$5</f>
        <v>2</v>
      </c>
      <c r="G22" s="16" t="n">
        <v>1500</v>
      </c>
      <c r="H22" s="17" t="s">
        <v>72</v>
      </c>
      <c r="I22" s="18" t="n">
        <f aca="false">IF(H22="USD",G22*비교!$C$4,G22)</f>
        <v>1500</v>
      </c>
      <c r="J22" s="18" t="n">
        <f aca="false">F22*I22</f>
        <v>3000</v>
      </c>
      <c r="K22" s="13" t="s">
        <v>101</v>
      </c>
      <c r="L22" s="13" t="s">
        <v>113</v>
      </c>
      <c r="M22" s="19" t="s">
        <v>157</v>
      </c>
      <c r="N22" s="13" t="s">
        <v>115</v>
      </c>
      <c r="O22" s="20"/>
      <c r="P22" s="14" t="s">
        <v>158</v>
      </c>
    </row>
    <row r="23" customFormat="false" ht="15" hidden="false" customHeight="false" outlineLevel="0" collapsed="false">
      <c r="A23" s="13" t="s">
        <v>12</v>
      </c>
      <c r="B23" s="13" t="s">
        <v>159</v>
      </c>
      <c r="C23" s="20" t="s">
        <v>160</v>
      </c>
      <c r="D23" s="15" t="n">
        <v>1</v>
      </c>
      <c r="E23" s="15" t="n">
        <v>0</v>
      </c>
      <c r="F23" s="13" t="n">
        <f aca="false">D23+E23*비교!$C$5</f>
        <v>1</v>
      </c>
      <c r="G23" s="16" t="n">
        <v>1000</v>
      </c>
      <c r="H23" s="17" t="s">
        <v>72</v>
      </c>
      <c r="I23" s="18" t="n">
        <f aca="false">IF(H23="USD",G23*비교!$C$4,G23)</f>
        <v>1000</v>
      </c>
      <c r="J23" s="18" t="n">
        <f aca="false">F23*I23</f>
        <v>1000</v>
      </c>
      <c r="K23" s="13" t="s">
        <v>101</v>
      </c>
      <c r="L23" s="13" t="s">
        <v>113</v>
      </c>
      <c r="M23" s="19" t="s">
        <v>161</v>
      </c>
      <c r="N23" s="13" t="s">
        <v>115</v>
      </c>
      <c r="O23" s="20"/>
      <c r="P23" s="20"/>
    </row>
    <row r="24" customFormat="false" ht="15" hidden="false" customHeight="false" outlineLevel="0" collapsed="false">
      <c r="A24" s="13" t="s">
        <v>12</v>
      </c>
      <c r="B24" s="13" t="s">
        <v>162</v>
      </c>
      <c r="C24" s="20" t="s">
        <v>163</v>
      </c>
      <c r="D24" s="15" t="n">
        <v>1</v>
      </c>
      <c r="E24" s="15" t="n">
        <v>0</v>
      </c>
      <c r="F24" s="13" t="n">
        <f aca="false">D24+E24*비교!$C$5</f>
        <v>1</v>
      </c>
      <c r="G24" s="16" t="n">
        <v>1500</v>
      </c>
      <c r="H24" s="17" t="s">
        <v>72</v>
      </c>
      <c r="I24" s="18" t="n">
        <f aca="false">IF(H24="USD",G24*비교!$C$4,G24)</f>
        <v>1500</v>
      </c>
      <c r="J24" s="18" t="n">
        <f aca="false">F24*I24</f>
        <v>1500</v>
      </c>
      <c r="K24" s="13" t="s">
        <v>101</v>
      </c>
      <c r="L24" s="13" t="s">
        <v>113</v>
      </c>
      <c r="M24" s="19" t="s">
        <v>164</v>
      </c>
      <c r="N24" s="13" t="s">
        <v>115</v>
      </c>
      <c r="O24" s="20"/>
      <c r="P24" s="20" t="s">
        <v>165</v>
      </c>
    </row>
    <row r="25" customFormat="false" ht="15" hidden="false" customHeight="false" outlineLevel="0" collapsed="false">
      <c r="A25" s="13" t="s">
        <v>12</v>
      </c>
      <c r="B25" s="13" t="s">
        <v>166</v>
      </c>
      <c r="C25" s="14" t="s">
        <v>167</v>
      </c>
      <c r="D25" s="15" t="n">
        <v>2</v>
      </c>
      <c r="E25" s="15" t="n">
        <v>0</v>
      </c>
      <c r="F25" s="13" t="n">
        <f aca="false">D25+E25*비교!$C$5</f>
        <v>2</v>
      </c>
      <c r="G25" s="16" t="n">
        <v>500</v>
      </c>
      <c r="H25" s="17" t="s">
        <v>72</v>
      </c>
      <c r="I25" s="18" t="n">
        <f aca="false">IF(H25="USD",G25*비교!$C$4,G25)</f>
        <v>500</v>
      </c>
      <c r="J25" s="18" t="n">
        <f aca="false">F25*I25</f>
        <v>1000</v>
      </c>
      <c r="K25" s="13" t="s">
        <v>101</v>
      </c>
      <c r="L25" s="13" t="s">
        <v>102</v>
      </c>
      <c r="M25" s="19" t="s">
        <v>168</v>
      </c>
      <c r="N25" s="13" t="s">
        <v>115</v>
      </c>
      <c r="O25" s="20"/>
      <c r="P25" s="20" t="s">
        <v>169</v>
      </c>
    </row>
    <row r="26" customFormat="false" ht="15" hidden="false" customHeight="false" outlineLevel="0" collapsed="false">
      <c r="A26" s="13" t="s">
        <v>13</v>
      </c>
      <c r="B26" s="13" t="s">
        <v>170</v>
      </c>
      <c r="C26" s="14" t="s">
        <v>171</v>
      </c>
      <c r="D26" s="15" t="n">
        <v>1</v>
      </c>
      <c r="E26" s="15" t="n">
        <v>2</v>
      </c>
      <c r="F26" s="13" t="n">
        <f aca="false">D26+E26*비교!$C$5</f>
        <v>3</v>
      </c>
      <c r="G26" s="29" t="n">
        <v>0.15</v>
      </c>
      <c r="H26" s="17" t="s">
        <v>94</v>
      </c>
      <c r="I26" s="18" t="n">
        <f aca="false">IF(H26="USD",G26*비교!$C$4,G26)</f>
        <v>210</v>
      </c>
      <c r="J26" s="18" t="n">
        <f aca="false">F26*I26</f>
        <v>630</v>
      </c>
      <c r="K26" s="13" t="s">
        <v>101</v>
      </c>
      <c r="L26" s="17" t="s">
        <v>135</v>
      </c>
      <c r="M26" s="19" t="s">
        <v>172</v>
      </c>
      <c r="N26" s="13" t="s">
        <v>115</v>
      </c>
      <c r="O26" s="20"/>
      <c r="P26" s="14" t="s">
        <v>173</v>
      </c>
    </row>
    <row r="27" customFormat="false" ht="15" hidden="false" customHeight="false" outlineLevel="0" collapsed="false">
      <c r="A27" s="13" t="s">
        <v>13</v>
      </c>
      <c r="B27" s="13" t="s">
        <v>174</v>
      </c>
      <c r="C27" s="14" t="s">
        <v>175</v>
      </c>
      <c r="D27" s="15" t="n">
        <v>1</v>
      </c>
      <c r="E27" s="15" t="n">
        <v>0</v>
      </c>
      <c r="F27" s="13" t="n">
        <f aca="false">D27+E27*비교!$C$5</f>
        <v>1</v>
      </c>
      <c r="G27" s="29" t="n">
        <v>10</v>
      </c>
      <c r="H27" s="17" t="s">
        <v>94</v>
      </c>
      <c r="I27" s="18" t="n">
        <f aca="false">IF(H27="USD",G27*비교!$C$4,G27)</f>
        <v>14000</v>
      </c>
      <c r="J27" s="18" t="n">
        <f aca="false">F27*I27</f>
        <v>14000</v>
      </c>
      <c r="K27" s="13" t="s">
        <v>101</v>
      </c>
      <c r="L27" s="17" t="s">
        <v>176</v>
      </c>
      <c r="M27" s="19" t="s">
        <v>177</v>
      </c>
      <c r="N27" s="13" t="s">
        <v>178</v>
      </c>
      <c r="O27" s="20"/>
      <c r="P27" s="14" t="s">
        <v>179</v>
      </c>
    </row>
    <row r="28" customFormat="false" ht="15" hidden="false" customHeight="false" outlineLevel="0" collapsed="false">
      <c r="A28" s="13" t="s">
        <v>13</v>
      </c>
      <c r="B28" s="13" t="s">
        <v>180</v>
      </c>
      <c r="C28" s="14" t="s">
        <v>181</v>
      </c>
      <c r="D28" s="15" t="n">
        <v>6</v>
      </c>
      <c r="E28" s="15" t="n">
        <v>0</v>
      </c>
      <c r="F28" s="13" t="n">
        <f aca="false">D28+E28*비교!$C$5</f>
        <v>6</v>
      </c>
      <c r="G28" s="16" t="n">
        <v>100</v>
      </c>
      <c r="H28" s="17" t="s">
        <v>72</v>
      </c>
      <c r="I28" s="18" t="n">
        <f aca="false">IF(H28="USD",G28*비교!$C$4,G28)</f>
        <v>100</v>
      </c>
      <c r="J28" s="18" t="n">
        <f aca="false">F28*I28</f>
        <v>600</v>
      </c>
      <c r="K28" s="13" t="s">
        <v>101</v>
      </c>
      <c r="L28" s="13" t="s">
        <v>102</v>
      </c>
      <c r="M28" s="19" t="s">
        <v>182</v>
      </c>
      <c r="N28" s="13" t="s">
        <v>115</v>
      </c>
      <c r="O28" s="20"/>
      <c r="P28" s="20" t="s">
        <v>183</v>
      </c>
    </row>
    <row r="29" customFormat="false" ht="38.05" hidden="false" customHeight="false" outlineLevel="0" collapsed="false">
      <c r="A29" s="13" t="s">
        <v>14</v>
      </c>
      <c r="B29" s="13" t="s">
        <v>184</v>
      </c>
      <c r="C29" s="14" t="s">
        <v>185</v>
      </c>
      <c r="D29" s="15" t="n">
        <v>11</v>
      </c>
      <c r="E29" s="15" t="n">
        <v>2</v>
      </c>
      <c r="F29" s="13" t="n">
        <f aca="false">D29+E29*비교!$C$5</f>
        <v>13</v>
      </c>
      <c r="G29" s="16" t="n">
        <v>1200</v>
      </c>
      <c r="H29" s="17" t="s">
        <v>72</v>
      </c>
      <c r="I29" s="18" t="n">
        <f aca="false">IF(H29="USD",G29*비교!$C$4,G29)</f>
        <v>1200</v>
      </c>
      <c r="J29" s="18" t="n">
        <f aca="false">F29*I29</f>
        <v>15600</v>
      </c>
      <c r="K29" s="13" t="s">
        <v>101</v>
      </c>
      <c r="L29" s="13" t="s">
        <v>102</v>
      </c>
      <c r="M29" s="19" t="s">
        <v>186</v>
      </c>
      <c r="N29" s="13" t="s">
        <v>115</v>
      </c>
      <c r="O29" s="20" t="s">
        <v>187</v>
      </c>
      <c r="P29" s="14" t="s">
        <v>188</v>
      </c>
    </row>
    <row r="30" customFormat="false" ht="38.05" hidden="false" customHeight="false" outlineLevel="0" collapsed="false">
      <c r="A30" s="13" t="s">
        <v>14</v>
      </c>
      <c r="B30" s="13" t="s">
        <v>189</v>
      </c>
      <c r="C30" s="14" t="s">
        <v>190</v>
      </c>
      <c r="D30" s="15" t="n">
        <v>3</v>
      </c>
      <c r="E30" s="15" t="n">
        <v>1</v>
      </c>
      <c r="F30" s="13" t="n">
        <f aca="false">D30+E30*비교!$C$5</f>
        <v>4</v>
      </c>
      <c r="G30" s="16" t="n">
        <v>1000</v>
      </c>
      <c r="H30" s="17" t="s">
        <v>72</v>
      </c>
      <c r="I30" s="18" t="n">
        <f aca="false">IF(H30="USD",G30*비교!$C$4,G30)</f>
        <v>1000</v>
      </c>
      <c r="J30" s="18" t="n">
        <f aca="false">F30*I30</f>
        <v>4000</v>
      </c>
      <c r="K30" s="13" t="s">
        <v>101</v>
      </c>
      <c r="L30" s="13" t="s">
        <v>102</v>
      </c>
      <c r="M30" s="19" t="s">
        <v>191</v>
      </c>
      <c r="N30" s="13" t="s">
        <v>115</v>
      </c>
      <c r="O30" s="20" t="s">
        <v>192</v>
      </c>
      <c r="P30" s="14" t="s">
        <v>193</v>
      </c>
    </row>
    <row r="31" customFormat="false" ht="15" hidden="false" customHeight="false" outlineLevel="0" collapsed="false">
      <c r="A31" s="13" t="s">
        <v>14</v>
      </c>
      <c r="B31" s="13" t="s">
        <v>194</v>
      </c>
      <c r="C31" s="14" t="s">
        <v>195</v>
      </c>
      <c r="D31" s="15" t="n">
        <v>1</v>
      </c>
      <c r="E31" s="15" t="n">
        <v>0</v>
      </c>
      <c r="F31" s="13" t="n">
        <f aca="false">D31+E31*비교!$C$5</f>
        <v>1</v>
      </c>
      <c r="G31" s="16" t="n">
        <v>6000</v>
      </c>
      <c r="H31" s="17" t="s">
        <v>72</v>
      </c>
      <c r="I31" s="18" t="n">
        <f aca="false">IF(H31="USD",G31*비교!$C$4,G31)</f>
        <v>6000</v>
      </c>
      <c r="J31" s="18" t="n">
        <f aca="false">F31*I31</f>
        <v>6000</v>
      </c>
      <c r="K31" s="13" t="s">
        <v>101</v>
      </c>
      <c r="L31" s="13" t="s">
        <v>102</v>
      </c>
      <c r="M31" s="19" t="s">
        <v>196</v>
      </c>
      <c r="N31" s="13" t="s">
        <v>115</v>
      </c>
      <c r="O31" s="20"/>
      <c r="P31" s="20" t="s">
        <v>197</v>
      </c>
    </row>
    <row r="32" customFormat="false" ht="15" hidden="false" customHeight="false" outlineLevel="0" collapsed="false">
      <c r="A32" s="13" t="s">
        <v>14</v>
      </c>
      <c r="B32" s="13" t="s">
        <v>198</v>
      </c>
      <c r="C32" s="14" t="s">
        <v>199</v>
      </c>
      <c r="D32" s="15" t="n">
        <v>1</v>
      </c>
      <c r="E32" s="15" t="n">
        <v>0</v>
      </c>
      <c r="F32" s="13" t="n">
        <f aca="false">D32+E32*비교!$C$5</f>
        <v>1</v>
      </c>
      <c r="G32" s="16" t="n">
        <v>4000</v>
      </c>
      <c r="H32" s="17" t="s">
        <v>72</v>
      </c>
      <c r="I32" s="18" t="n">
        <f aca="false">IF(H32="USD",G32*비교!$C$4,G32)</f>
        <v>4000</v>
      </c>
      <c r="J32" s="18" t="n">
        <f aca="false">F32*I32</f>
        <v>4000</v>
      </c>
      <c r="K32" s="13" t="s">
        <v>101</v>
      </c>
      <c r="L32" s="13" t="s">
        <v>102</v>
      </c>
      <c r="M32" s="19" t="s">
        <v>200</v>
      </c>
      <c r="N32" s="13" t="s">
        <v>115</v>
      </c>
      <c r="O32" s="20"/>
      <c r="P32" s="20" t="s">
        <v>201</v>
      </c>
    </row>
    <row r="33" customFormat="false" ht="29.85" hidden="false" customHeight="false" outlineLevel="0" collapsed="false">
      <c r="A33" s="13" t="s">
        <v>14</v>
      </c>
      <c r="B33" s="13" t="s">
        <v>202</v>
      </c>
      <c r="C33" s="20" t="s">
        <v>203</v>
      </c>
      <c r="D33" s="15" t="n">
        <v>1</v>
      </c>
      <c r="E33" s="15" t="n">
        <v>0</v>
      </c>
      <c r="F33" s="13" t="n">
        <f aca="false">D33+E33*비교!$C$5</f>
        <v>1</v>
      </c>
      <c r="G33" s="16" t="n">
        <v>40000</v>
      </c>
      <c r="H33" s="17" t="s">
        <v>72</v>
      </c>
      <c r="I33" s="18" t="n">
        <f aca="false">IF(H33="USD",G33*비교!$C$4,G33)</f>
        <v>40000</v>
      </c>
      <c r="J33" s="18" t="n">
        <f aca="false">F33*I33</f>
        <v>40000</v>
      </c>
      <c r="K33" s="13" t="s">
        <v>101</v>
      </c>
      <c r="L33" s="13" t="s">
        <v>204</v>
      </c>
      <c r="M33" s="19" t="s">
        <v>205</v>
      </c>
      <c r="N33" s="13" t="s">
        <v>115</v>
      </c>
      <c r="O33" s="14" t="s">
        <v>206</v>
      </c>
      <c r="P33" s="14" t="s">
        <v>207</v>
      </c>
    </row>
    <row r="34" customFormat="false" ht="15" hidden="false" customHeight="false" outlineLevel="0" collapsed="false">
      <c r="A34" s="13" t="s">
        <v>15</v>
      </c>
      <c r="B34" s="13" t="s">
        <v>208</v>
      </c>
      <c r="C34" s="14" t="s">
        <v>209</v>
      </c>
      <c r="D34" s="15" t="n">
        <v>1</v>
      </c>
      <c r="E34" s="15" t="n">
        <v>0</v>
      </c>
      <c r="F34" s="13" t="n">
        <f aca="false">D34+E34*비교!$C$5</f>
        <v>1</v>
      </c>
      <c r="G34" s="16" t="n">
        <v>15000</v>
      </c>
      <c r="H34" s="17" t="s">
        <v>72</v>
      </c>
      <c r="I34" s="18" t="n">
        <f aca="false">IF(H34="USD",G34*비교!$C$4,G34)</f>
        <v>15000</v>
      </c>
      <c r="J34" s="18" t="n">
        <f aca="false">F34*I34</f>
        <v>15000</v>
      </c>
      <c r="K34" s="13" t="s">
        <v>101</v>
      </c>
      <c r="L34" s="13" t="s">
        <v>113</v>
      </c>
      <c r="M34" s="19" t="s">
        <v>210</v>
      </c>
      <c r="N34" s="13" t="s">
        <v>115</v>
      </c>
      <c r="O34" s="20"/>
      <c r="P34" s="20" t="s">
        <v>211</v>
      </c>
    </row>
    <row r="35" customFormat="false" ht="15" hidden="false" customHeight="false" outlineLevel="0" collapsed="false">
      <c r="A35" s="13" t="s">
        <v>15</v>
      </c>
      <c r="B35" s="13" t="s">
        <v>212</v>
      </c>
      <c r="C35" s="14" t="s">
        <v>213</v>
      </c>
      <c r="D35" s="15" t="n">
        <v>1</v>
      </c>
      <c r="E35" s="15" t="n">
        <v>0</v>
      </c>
      <c r="F35" s="13" t="n">
        <f aca="false">D35+E35*비교!$C$5</f>
        <v>1</v>
      </c>
      <c r="G35" s="16" t="n">
        <v>18000</v>
      </c>
      <c r="H35" s="17" t="s">
        <v>72</v>
      </c>
      <c r="I35" s="18" t="n">
        <f aca="false">IF(H35="USD",G35*비교!$C$4,G35)</f>
        <v>18000</v>
      </c>
      <c r="J35" s="18" t="n">
        <f aca="false">F35*I35</f>
        <v>18000</v>
      </c>
      <c r="K35" s="13" t="s">
        <v>101</v>
      </c>
      <c r="L35" s="13" t="s">
        <v>113</v>
      </c>
      <c r="M35" s="19" t="s">
        <v>214</v>
      </c>
      <c r="N35" s="13" t="s">
        <v>115</v>
      </c>
      <c r="O35" s="20"/>
      <c r="P35" s="20" t="s">
        <v>215</v>
      </c>
    </row>
    <row r="36" customFormat="false" ht="15" hidden="false" customHeight="false" outlineLevel="0" collapsed="false">
      <c r="A36" s="13" t="s">
        <v>16</v>
      </c>
      <c r="B36" s="13" t="s">
        <v>216</v>
      </c>
      <c r="C36" s="14" t="s">
        <v>217</v>
      </c>
      <c r="D36" s="15" t="n">
        <v>1</v>
      </c>
      <c r="E36" s="15" t="n">
        <v>0</v>
      </c>
      <c r="F36" s="13" t="n">
        <f aca="false">D36+E36*비교!$C$5</f>
        <v>1</v>
      </c>
      <c r="G36" s="16" t="n">
        <v>55000</v>
      </c>
      <c r="H36" s="17" t="s">
        <v>72</v>
      </c>
      <c r="I36" s="18" t="n">
        <f aca="false">IF(H36="USD",G36*비교!$C$4,G36)</f>
        <v>55000</v>
      </c>
      <c r="J36" s="18" t="n">
        <f aca="false">F36*I36</f>
        <v>55000</v>
      </c>
      <c r="K36" s="13" t="s">
        <v>101</v>
      </c>
      <c r="L36" s="13" t="s">
        <v>113</v>
      </c>
      <c r="M36" s="19" t="s">
        <v>218</v>
      </c>
      <c r="N36" s="13" t="s">
        <v>115</v>
      </c>
      <c r="O36" s="20"/>
      <c r="P36" s="20" t="s">
        <v>219</v>
      </c>
    </row>
    <row r="38" customFormat="false" ht="15" hidden="false" customHeight="false" outlineLevel="0" collapsed="false">
      <c r="I38" s="7" t="s">
        <v>18</v>
      </c>
      <c r="J38" s="8" t="n">
        <f aca="false">SUM(J6:J36)</f>
        <v>896602</v>
      </c>
    </row>
    <row r="39" customFormat="false" ht="15" hidden="false" customHeight="false" outlineLevel="0" collapsed="false">
      <c r="I39" s="7" t="s">
        <v>220</v>
      </c>
      <c r="J39" s="30" t="n">
        <f aca="false">IFERROR(J6/J38,0)</f>
        <v>0.471112043024664</v>
      </c>
    </row>
  </sheetData>
  <autoFilter ref="A5:P36"/>
  <hyperlinks>
    <hyperlink ref="M6" r:id="rId1" display="https://www.robotis.com/shop/item.php?it_id=902-0163-000"/>
    <hyperlink ref="M7" r:id="rId2" display="https://www.robotis.com/shop/item.php?it_id=902-0132-000"/>
    <hyperlink ref="M8" r:id="rId3" display="https://www.robotis.com/shop/list.php?ca_id=202030"/>
    <hyperlink ref="M9" r:id="rId4" display="https://www.robotis.com/shop/list.php?ca_id=202030"/>
    <hyperlink ref="M10" r:id="rId5" display="https://arace.tech/products/radxa-zero-3w"/>
    <hyperlink ref="M11" r:id="rId6" display="https://www.aliexpress.us/item/3256806829446736.html"/>
    <hyperlink ref="M12" r:id="rId7" display="https://www.sparkfun.com/sparkfun-6dof-imu-breakout-lsm6dsv16x-qwiic.html"/>
    <hyperlink ref="M13" r:id="rId8" display="https://search.shopping.naver.com/search/all?query=ESP32-C3+SuperMini&amp;sort=price_asc"/>
    <hyperlink ref="M14" r:id="rId9" display="https://www.digikey.kr/en/products/detail/pololu/3419/22310072"/>
    <hyperlink ref="M15" r:id="rId10" display="https://www.aliexpress.com/w/wholesale-IMX219-M12-camera-module.html?SortType=price_asc"/>
    <hyperlink ref="M16" r:id="rId11" display="https://www.aliexpress.com/w/wholesale-22pin-to-15pin-CSI-cable.html?SortType=price_asc"/>
    <hyperlink ref="M17" r:id="rId12" display="https://www.lcsc.com/search?q=TLV320AIC3104"/>
    <hyperlink ref="M18" r:id="rId13" display="https://search.shopping.naver.com/search/all?query=%EC%86%8C%ED%98%95+%EC%8A%A4%ED%94%BC%EC%BB%A4+8%EC%98%B4+1W+3525&amp;sort=price_asc"/>
    <hyperlink ref="M19" r:id="rId14" display="https://search.shopping.naver.com/search/all?query=MEMS+%EB%A7%88%EC%9D%B4%ED%81%AC+%EB%AA%A8%EB%93%88&amp;sort=price_asc"/>
    <hyperlink ref="M20" r:id="rId15" display="https://search.shopping.naver.com/search/all?query=NP-F550+%ED%98%B8%ED%99%98+%EB%B0%B0%ED%84%B0%EB%A6%AC+%EC%B6%A9%EC%A0%84%EA%B8%B0+%EC%84%B8%ED%8A%B8&amp;sort=price_asc"/>
    <hyperlink ref="M21" r:id="rId16" display="https://www.aliexpress.com/w/wholesale-NP-F-battery-plate-holder.html?SortType=price_asc"/>
    <hyperlink ref="M22" r:id="rId17" display="https://search.shopping.naver.com/search/all?query=MP1584EN+%EA%B0%95%EC%95%95+%EB%AA%A8%EB%93%88&amp;sort=price_asc"/>
    <hyperlink ref="M23" r:id="rId18" display="https://search.shopping.naver.com/search/all?query=%EB%AF%B8%EB%8B%88+%EB%A1%9C%EC%BB%A4%EC%8A%A4%EC%9C%84%EC%B9%98+5A&amp;sort=price_asc"/>
    <hyperlink ref="M24" r:id="rId19" display="https://search.shopping.naver.com/search/all?query=%EB%AF%B8%EB%8B%88+%EB%B8%94%EB%A0%88%EC%9D%B4%EB%93%9C+%ED%93%A8%EC%A6%88+%ED%99%80%EB%8D%94&amp;sort=price_asc"/>
    <hyperlink ref="M25" r:id="rId20" display="https://www.aliexpress.com/w/wholesale-XT30-connector.html?SortType=price_asc"/>
    <hyperlink ref="M26" r:id="rId21" display="https://www.lcsc.com/search?q=SN74LVC2G241"/>
    <hyperlink ref="M27" r:id="rId22" display="https://jlcpcb.com/"/>
    <hyperlink ref="M28" r:id="rId23" display="https://www.aliexpress.com/w/wholesale-JST-EH-2.5mm-3pin-header.html?SortType=price_asc"/>
    <hyperlink ref="M29" r:id="rId24" display="https://www.aliexpress.com/w/wholesale-16x22x4-bearing.html?SortType=price_asc"/>
    <hyperlink ref="M30" r:id="rId25" display="https://www.aliexpress.com/w/wholesale-10x15x3-bearing.html?SortType=price_asc"/>
    <hyperlink ref="M31" r:id="rId26" display="https://www.aliexpress.com/w/wholesale-M2-M2.5-M3-screw-kit.html?SortType=price_asc"/>
    <hyperlink ref="M32" r:id="rId27" display="https://www.aliexpress.com/w/wholesale-M2-heat-set-insert.html?SortType=price_asc"/>
    <hyperlink ref="M33" r:id="rId28" display="https://search.shopping.naver.com/search/all?query=%EC%95%8C%EB%A3%A8%EB%AF%B8%EB%8A%84+%EB%A0%88%EC%9D%B4%EC%A0%80+%EA%B0%80%EA%B3%B5+%EC%86%8C%EB%9F%89&amp;sort=price_asc"/>
    <hyperlink ref="M34" r:id="rId29" display="https://search.shopping.naver.com/search/all?query=PETG+%ED%95%84%EB%9D%BC%EB%A9%98%ED%8A%B8+1kg&amp;sort=price_asc"/>
    <hyperlink ref="M35" r:id="rId30" display="https://search.shopping.naver.com/search/all?query=TPU+95A+%ED%95%84%EB%9D%BC%EB%A9%98%ED%8A%B8&amp;sort=price_asc"/>
    <hyperlink ref="M36" r:id="rId31" display="https://search.shopping.naver.com/search/all?query=Xbox+%EB%AC%B4%EC%84%A0+%EC%BB%A8%ED%8A%B8%EB%A1%A4%EB%9F%AC&amp;sort=price_a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5" min="4" style="0" width="6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2"/>
    <col collapsed="false" customWidth="true" hidden="false" outlineLevel="0" max="13" min="13" style="0" width="40"/>
    <col collapsed="false" customWidth="true" hidden="false" outlineLevel="0" max="14" min="14" style="0" width="8"/>
    <col collapsed="false" customWidth="true" hidden="false" outlineLevel="0" max="15" min="15" style="0" width="50"/>
    <col collapsed="false" customWidth="true" hidden="false" outlineLevel="0" max="16" min="16" style="0" width="60"/>
  </cols>
  <sheetData>
    <row r="1" customFormat="false" ht="21.6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3" customFormat="false" ht="15" hidden="false" customHeight="false" outlineLevel="0" collapsed="false">
      <c r="A3" s="2" t="s">
        <v>54</v>
      </c>
    </row>
    <row r="5" customFormat="false" ht="15" hidden="false" customHeight="false" outlineLevel="0" collapsed="false">
      <c r="A5" s="12" t="s">
        <v>4</v>
      </c>
      <c r="B5" s="12" t="s">
        <v>55</v>
      </c>
      <c r="C5" s="12" t="s">
        <v>56</v>
      </c>
      <c r="D5" s="12" t="s">
        <v>57</v>
      </c>
      <c r="E5" s="12" t="s">
        <v>58</v>
      </c>
      <c r="F5" s="12" t="s">
        <v>59</v>
      </c>
      <c r="G5" s="12" t="s">
        <v>60</v>
      </c>
      <c r="H5" s="12" t="s">
        <v>61</v>
      </c>
      <c r="I5" s="12" t="s">
        <v>62</v>
      </c>
      <c r="J5" s="12" t="s">
        <v>63</v>
      </c>
      <c r="K5" s="12" t="s">
        <v>64</v>
      </c>
      <c r="L5" s="12" t="s">
        <v>65</v>
      </c>
      <c r="M5" s="12" t="s">
        <v>66</v>
      </c>
      <c r="N5" s="12" t="s">
        <v>67</v>
      </c>
      <c r="O5" s="12" t="s">
        <v>68</v>
      </c>
      <c r="P5" s="12" t="s">
        <v>69</v>
      </c>
    </row>
    <row r="6" customFormat="false" ht="38.05" hidden="false" customHeight="false" outlineLevel="0" collapsed="false">
      <c r="A6" s="13" t="s">
        <v>8</v>
      </c>
      <c r="B6" s="13" t="s">
        <v>70</v>
      </c>
      <c r="C6" s="14" t="s">
        <v>71</v>
      </c>
      <c r="D6" s="15" t="n">
        <v>14</v>
      </c>
      <c r="E6" s="15" t="n">
        <v>0</v>
      </c>
      <c r="F6" s="13" t="n">
        <f aca="false">D6+E6*비교!$C$5</f>
        <v>14</v>
      </c>
      <c r="G6" s="16" t="n">
        <v>26400</v>
      </c>
      <c r="H6" s="17" t="s">
        <v>72</v>
      </c>
      <c r="I6" s="18" t="n">
        <f aca="false">IF(H6="USD",G6*비교!$C$4,G6)</f>
        <v>26400</v>
      </c>
      <c r="J6" s="18" t="n">
        <f aca="false">F6*I6</f>
        <v>369600</v>
      </c>
      <c r="K6" s="13" t="s">
        <v>73</v>
      </c>
      <c r="L6" s="13" t="s">
        <v>74</v>
      </c>
      <c r="M6" s="19" t="s">
        <v>75</v>
      </c>
      <c r="N6" s="13" t="s">
        <v>76</v>
      </c>
      <c r="O6" s="20" t="s">
        <v>77</v>
      </c>
      <c r="P6" s="20" t="s">
        <v>78</v>
      </c>
    </row>
    <row r="7" customFormat="false" ht="15" hidden="false" customHeight="false" outlineLevel="0" collapsed="false">
      <c r="A7" s="13" t="s">
        <v>8</v>
      </c>
      <c r="B7" s="17" t="s">
        <v>223</v>
      </c>
      <c r="C7" s="14" t="s">
        <v>224</v>
      </c>
      <c r="D7" s="15" t="n">
        <v>1</v>
      </c>
      <c r="E7" s="15" t="n">
        <v>0</v>
      </c>
      <c r="F7" s="13" t="n">
        <f aca="false">D7+E7*비교!$C$5</f>
        <v>1</v>
      </c>
      <c r="G7" s="16" t="n">
        <v>2500</v>
      </c>
      <c r="H7" s="17" t="s">
        <v>72</v>
      </c>
      <c r="I7" s="18" t="n">
        <f aca="false">IF(H7="USD",G7*비교!$C$4,G7)</f>
        <v>2500</v>
      </c>
      <c r="J7" s="18" t="n">
        <f aca="false">F7*I7</f>
        <v>2500</v>
      </c>
      <c r="K7" s="13" t="s">
        <v>101</v>
      </c>
      <c r="L7" s="13" t="s">
        <v>113</v>
      </c>
      <c r="M7" s="19" t="s">
        <v>225</v>
      </c>
      <c r="N7" s="13" t="s">
        <v>115</v>
      </c>
      <c r="O7" s="20"/>
      <c r="P7" s="14" t="s">
        <v>226</v>
      </c>
    </row>
    <row r="8" customFormat="false" ht="44" hidden="false" customHeight="false" outlineLevel="0" collapsed="false">
      <c r="A8" s="21" t="s">
        <v>9</v>
      </c>
      <c r="B8" s="21" t="s">
        <v>92</v>
      </c>
      <c r="C8" s="22" t="s">
        <v>93</v>
      </c>
      <c r="D8" s="23" t="n">
        <v>1</v>
      </c>
      <c r="E8" s="23" t="n">
        <v>0</v>
      </c>
      <c r="F8" s="21" t="n">
        <f aca="false">D8+E8*비교!$C$5</f>
        <v>1</v>
      </c>
      <c r="G8" s="24" t="n">
        <v>20</v>
      </c>
      <c r="H8" s="25" t="s">
        <v>94</v>
      </c>
      <c r="I8" s="26" t="n">
        <f aca="false">IF(H8="USD",G8*비교!$C$4,G8)</f>
        <v>28000</v>
      </c>
      <c r="J8" s="26" t="n">
        <f aca="false">F8*I8</f>
        <v>28000</v>
      </c>
      <c r="K8" s="21" t="s">
        <v>73</v>
      </c>
      <c r="L8" s="25" t="s">
        <v>95</v>
      </c>
      <c r="M8" s="27" t="s">
        <v>96</v>
      </c>
      <c r="N8" s="21" t="s">
        <v>76</v>
      </c>
      <c r="O8" s="28" t="s">
        <v>97</v>
      </c>
      <c r="P8" s="22" t="s">
        <v>98</v>
      </c>
    </row>
    <row r="9" customFormat="false" ht="15" hidden="false" customHeight="false" outlineLevel="0" collapsed="false">
      <c r="A9" s="13" t="s">
        <v>9</v>
      </c>
      <c r="B9" s="13" t="s">
        <v>99</v>
      </c>
      <c r="C9" s="14" t="s">
        <v>100</v>
      </c>
      <c r="D9" s="15" t="n">
        <v>1</v>
      </c>
      <c r="E9" s="15" t="n">
        <v>0</v>
      </c>
      <c r="F9" s="13" t="n">
        <f aca="false">D9+E9*비교!$C$5</f>
        <v>1</v>
      </c>
      <c r="G9" s="16" t="n">
        <v>3000</v>
      </c>
      <c r="H9" s="17" t="s">
        <v>72</v>
      </c>
      <c r="I9" s="18" t="n">
        <f aca="false">IF(H9="USD",G9*비교!$C$4,G9)</f>
        <v>3000</v>
      </c>
      <c r="J9" s="18" t="n">
        <f aca="false">F9*I9</f>
        <v>3000</v>
      </c>
      <c r="K9" s="13" t="s">
        <v>101</v>
      </c>
      <c r="L9" s="13" t="s">
        <v>102</v>
      </c>
      <c r="M9" s="19" t="s">
        <v>103</v>
      </c>
      <c r="N9" s="13" t="s">
        <v>76</v>
      </c>
      <c r="O9" s="20"/>
      <c r="P9" s="20" t="s">
        <v>104</v>
      </c>
    </row>
    <row r="10" customFormat="false" ht="15" hidden="false" customHeight="false" outlineLevel="0" collapsed="false">
      <c r="A10" s="13" t="s">
        <v>9</v>
      </c>
      <c r="B10" s="17" t="s">
        <v>227</v>
      </c>
      <c r="C10" s="14" t="s">
        <v>228</v>
      </c>
      <c r="D10" s="15" t="n">
        <v>1</v>
      </c>
      <c r="E10" s="15" t="n">
        <v>0</v>
      </c>
      <c r="F10" s="13" t="n">
        <f aca="false">D10+E10*비교!$C$5</f>
        <v>1</v>
      </c>
      <c r="G10" s="16" t="n">
        <v>6000</v>
      </c>
      <c r="H10" s="17" t="s">
        <v>72</v>
      </c>
      <c r="I10" s="18" t="n">
        <f aca="false">IF(H10="USD",G10*비교!$C$4,G10)</f>
        <v>6000</v>
      </c>
      <c r="J10" s="18" t="n">
        <f aca="false">F10*I10</f>
        <v>6000</v>
      </c>
      <c r="K10" s="13" t="s">
        <v>101</v>
      </c>
      <c r="L10" s="13" t="s">
        <v>113</v>
      </c>
      <c r="M10" s="19" t="s">
        <v>229</v>
      </c>
      <c r="N10" s="13" t="s">
        <v>115</v>
      </c>
      <c r="O10" s="20"/>
      <c r="P10" s="14" t="s">
        <v>230</v>
      </c>
    </row>
    <row r="11" customFormat="false" ht="26.85" hidden="false" customHeight="false" outlineLevel="0" collapsed="false">
      <c r="A11" s="13" t="s">
        <v>10</v>
      </c>
      <c r="B11" s="13" t="s">
        <v>105</v>
      </c>
      <c r="C11" s="14" t="s">
        <v>106</v>
      </c>
      <c r="D11" s="15" t="n">
        <v>1</v>
      </c>
      <c r="E11" s="15" t="n">
        <v>0</v>
      </c>
      <c r="F11" s="13" t="n">
        <f aca="false">D11+E11*비교!$C$5</f>
        <v>1</v>
      </c>
      <c r="G11" s="29" t="n">
        <v>24.54</v>
      </c>
      <c r="H11" s="17" t="s">
        <v>94</v>
      </c>
      <c r="I11" s="18" t="n">
        <f aca="false">IF(H11="USD",G11*비교!$C$4,G11)</f>
        <v>34356</v>
      </c>
      <c r="J11" s="18" t="n">
        <f aca="false">F11*I11</f>
        <v>34356</v>
      </c>
      <c r="K11" s="13" t="s">
        <v>73</v>
      </c>
      <c r="L11" s="17" t="s">
        <v>107</v>
      </c>
      <c r="M11" s="19" t="s">
        <v>108</v>
      </c>
      <c r="N11" s="13" t="s">
        <v>76</v>
      </c>
      <c r="O11" s="20" t="s">
        <v>109</v>
      </c>
      <c r="P11" s="20" t="s">
        <v>110</v>
      </c>
    </row>
    <row r="12" customFormat="false" ht="26.85" hidden="false" customHeight="false" outlineLevel="0" collapsed="false">
      <c r="A12" s="13" t="s">
        <v>10</v>
      </c>
      <c r="B12" s="17" t="s">
        <v>111</v>
      </c>
      <c r="C12" s="14" t="s">
        <v>112</v>
      </c>
      <c r="D12" s="15" t="n">
        <v>1</v>
      </c>
      <c r="E12" s="15" t="n">
        <v>0</v>
      </c>
      <c r="F12" s="13" t="n">
        <f aca="false">D12+E12*비교!$C$5</f>
        <v>1</v>
      </c>
      <c r="G12" s="16" t="n">
        <v>3000</v>
      </c>
      <c r="H12" s="17" t="s">
        <v>72</v>
      </c>
      <c r="I12" s="18" t="n">
        <f aca="false">IF(H12="USD",G12*비교!$C$4,G12)</f>
        <v>3000</v>
      </c>
      <c r="J12" s="18" t="n">
        <f aca="false">F12*I12</f>
        <v>3000</v>
      </c>
      <c r="K12" s="13" t="s">
        <v>101</v>
      </c>
      <c r="L12" s="13" t="s">
        <v>113</v>
      </c>
      <c r="M12" s="19" t="s">
        <v>114</v>
      </c>
      <c r="N12" s="13" t="s">
        <v>115</v>
      </c>
      <c r="O12" s="20" t="s">
        <v>116</v>
      </c>
      <c r="P12" s="20" t="s">
        <v>117</v>
      </c>
    </row>
    <row r="13" customFormat="false" ht="38.05" hidden="false" customHeight="false" outlineLevel="0" collapsed="false">
      <c r="A13" s="13" t="s">
        <v>12</v>
      </c>
      <c r="B13" s="13" t="s">
        <v>145</v>
      </c>
      <c r="C13" s="14" t="s">
        <v>146</v>
      </c>
      <c r="D13" s="15" t="n">
        <v>1</v>
      </c>
      <c r="E13" s="15" t="n">
        <v>0</v>
      </c>
      <c r="F13" s="13" t="n">
        <f aca="false">D13+E13*비교!$C$5</f>
        <v>1</v>
      </c>
      <c r="G13" s="16" t="n">
        <v>25000</v>
      </c>
      <c r="H13" s="17" t="s">
        <v>72</v>
      </c>
      <c r="I13" s="18" t="n">
        <f aca="false">IF(H13="USD",G13*비교!$C$4,G13)</f>
        <v>25000</v>
      </c>
      <c r="J13" s="18" t="n">
        <f aca="false">F13*I13</f>
        <v>25000</v>
      </c>
      <c r="K13" s="13" t="s">
        <v>101</v>
      </c>
      <c r="L13" s="13" t="s">
        <v>113</v>
      </c>
      <c r="M13" s="19" t="s">
        <v>147</v>
      </c>
      <c r="N13" s="13" t="s">
        <v>115</v>
      </c>
      <c r="O13" s="14" t="s">
        <v>148</v>
      </c>
      <c r="P13" s="20" t="s">
        <v>149</v>
      </c>
    </row>
    <row r="14" customFormat="false" ht="49.25" hidden="false" customHeight="false" outlineLevel="0" collapsed="false">
      <c r="A14" s="13" t="s">
        <v>12</v>
      </c>
      <c r="B14" s="13" t="s">
        <v>150</v>
      </c>
      <c r="C14" s="14" t="s">
        <v>151</v>
      </c>
      <c r="D14" s="15" t="n">
        <v>1</v>
      </c>
      <c r="E14" s="15" t="n">
        <v>0</v>
      </c>
      <c r="F14" s="13" t="n">
        <f aca="false">D14+E14*비교!$C$5</f>
        <v>1</v>
      </c>
      <c r="G14" s="16" t="n">
        <v>4000</v>
      </c>
      <c r="H14" s="17" t="s">
        <v>72</v>
      </c>
      <c r="I14" s="18" t="n">
        <f aca="false">IF(H14="USD",G14*비교!$C$4,G14)</f>
        <v>4000</v>
      </c>
      <c r="J14" s="18" t="n">
        <f aca="false">F14*I14</f>
        <v>4000</v>
      </c>
      <c r="K14" s="13" t="s">
        <v>101</v>
      </c>
      <c r="L14" s="13" t="s">
        <v>102</v>
      </c>
      <c r="M14" s="19" t="s">
        <v>152</v>
      </c>
      <c r="N14" s="13" t="s">
        <v>115</v>
      </c>
      <c r="O14" s="20" t="s">
        <v>153</v>
      </c>
      <c r="P14" s="20" t="s">
        <v>154</v>
      </c>
    </row>
    <row r="15" customFormat="false" ht="15" hidden="false" customHeight="false" outlineLevel="0" collapsed="false">
      <c r="A15" s="13" t="s">
        <v>12</v>
      </c>
      <c r="B15" s="17" t="s">
        <v>155</v>
      </c>
      <c r="C15" s="14" t="s">
        <v>156</v>
      </c>
      <c r="D15" s="15" t="n">
        <v>1</v>
      </c>
      <c r="E15" s="15" t="n">
        <v>0</v>
      </c>
      <c r="F15" s="13" t="n">
        <f aca="false">D15+E15*비교!$C$5</f>
        <v>1</v>
      </c>
      <c r="G15" s="16" t="n">
        <v>1500</v>
      </c>
      <c r="H15" s="17" t="s">
        <v>72</v>
      </c>
      <c r="I15" s="18" t="n">
        <f aca="false">IF(H15="USD",G15*비교!$C$4,G15)</f>
        <v>1500</v>
      </c>
      <c r="J15" s="18" t="n">
        <f aca="false">F15*I15</f>
        <v>1500</v>
      </c>
      <c r="K15" s="13" t="s">
        <v>101</v>
      </c>
      <c r="L15" s="13" t="s">
        <v>113</v>
      </c>
      <c r="M15" s="19" t="s">
        <v>157</v>
      </c>
      <c r="N15" s="13" t="s">
        <v>115</v>
      </c>
      <c r="O15" s="20"/>
      <c r="P15" s="14" t="s">
        <v>158</v>
      </c>
    </row>
    <row r="16" customFormat="false" ht="15" hidden="false" customHeight="false" outlineLevel="0" collapsed="false">
      <c r="A16" s="13" t="s">
        <v>12</v>
      </c>
      <c r="B16" s="13" t="s">
        <v>159</v>
      </c>
      <c r="C16" s="20" t="s">
        <v>160</v>
      </c>
      <c r="D16" s="15" t="n">
        <v>1</v>
      </c>
      <c r="E16" s="15" t="n">
        <v>0</v>
      </c>
      <c r="F16" s="13" t="n">
        <f aca="false">D16+E16*비교!$C$5</f>
        <v>1</v>
      </c>
      <c r="G16" s="16" t="n">
        <v>1000</v>
      </c>
      <c r="H16" s="17" t="s">
        <v>72</v>
      </c>
      <c r="I16" s="18" t="n">
        <f aca="false">IF(H16="USD",G16*비교!$C$4,G16)</f>
        <v>1000</v>
      </c>
      <c r="J16" s="18" t="n">
        <f aca="false">F16*I16</f>
        <v>1000</v>
      </c>
      <c r="K16" s="13" t="s">
        <v>101</v>
      </c>
      <c r="L16" s="13" t="s">
        <v>113</v>
      </c>
      <c r="M16" s="19" t="s">
        <v>161</v>
      </c>
      <c r="N16" s="13" t="s">
        <v>115</v>
      </c>
      <c r="O16" s="20"/>
      <c r="P16" s="20"/>
    </row>
    <row r="17" customFormat="false" ht="15" hidden="false" customHeight="false" outlineLevel="0" collapsed="false">
      <c r="A17" s="13" t="s">
        <v>12</v>
      </c>
      <c r="B17" s="13" t="s">
        <v>162</v>
      </c>
      <c r="C17" s="20" t="s">
        <v>163</v>
      </c>
      <c r="D17" s="15" t="n">
        <v>1</v>
      </c>
      <c r="E17" s="15" t="n">
        <v>0</v>
      </c>
      <c r="F17" s="13" t="n">
        <f aca="false">D17+E17*비교!$C$5</f>
        <v>1</v>
      </c>
      <c r="G17" s="16" t="n">
        <v>1500</v>
      </c>
      <c r="H17" s="17" t="s">
        <v>72</v>
      </c>
      <c r="I17" s="18" t="n">
        <f aca="false">IF(H17="USD",G17*비교!$C$4,G17)</f>
        <v>1500</v>
      </c>
      <c r="J17" s="18" t="n">
        <f aca="false">F17*I17</f>
        <v>1500</v>
      </c>
      <c r="K17" s="13" t="s">
        <v>101</v>
      </c>
      <c r="L17" s="13" t="s">
        <v>113</v>
      </c>
      <c r="M17" s="19" t="s">
        <v>164</v>
      </c>
      <c r="N17" s="13" t="s">
        <v>115</v>
      </c>
      <c r="O17" s="20"/>
      <c r="P17" s="20" t="s">
        <v>165</v>
      </c>
    </row>
    <row r="18" customFormat="false" ht="15" hidden="false" customHeight="false" outlineLevel="0" collapsed="false">
      <c r="A18" s="13" t="s">
        <v>13</v>
      </c>
      <c r="B18" s="13" t="s">
        <v>170</v>
      </c>
      <c r="C18" s="14" t="s">
        <v>171</v>
      </c>
      <c r="D18" s="15" t="n">
        <v>1</v>
      </c>
      <c r="E18" s="15" t="n">
        <v>0</v>
      </c>
      <c r="F18" s="13" t="n">
        <f aca="false">D18+E18*비교!$C$5</f>
        <v>1</v>
      </c>
      <c r="G18" s="29" t="n">
        <v>0.15</v>
      </c>
      <c r="H18" s="17" t="s">
        <v>94</v>
      </c>
      <c r="I18" s="18" t="n">
        <f aca="false">IF(H18="USD",G18*비교!$C$4,G18)</f>
        <v>210</v>
      </c>
      <c r="J18" s="18" t="n">
        <f aca="false">F18*I18</f>
        <v>210</v>
      </c>
      <c r="K18" s="13" t="s">
        <v>101</v>
      </c>
      <c r="L18" s="17" t="s">
        <v>135</v>
      </c>
      <c r="M18" s="19" t="s">
        <v>172</v>
      </c>
      <c r="N18" s="13" t="s">
        <v>115</v>
      </c>
      <c r="O18" s="20"/>
      <c r="P18" s="14" t="s">
        <v>173</v>
      </c>
    </row>
    <row r="19" customFormat="false" ht="15" hidden="false" customHeight="false" outlineLevel="0" collapsed="false">
      <c r="A19" s="13" t="s">
        <v>13</v>
      </c>
      <c r="B19" s="13" t="s">
        <v>174</v>
      </c>
      <c r="C19" s="14" t="s">
        <v>175</v>
      </c>
      <c r="D19" s="15" t="n">
        <v>1</v>
      </c>
      <c r="E19" s="15" t="n">
        <v>0</v>
      </c>
      <c r="F19" s="13" t="n">
        <f aca="false">D19+E19*비교!$C$5</f>
        <v>1</v>
      </c>
      <c r="G19" s="29" t="n">
        <v>10</v>
      </c>
      <c r="H19" s="17" t="s">
        <v>94</v>
      </c>
      <c r="I19" s="18" t="n">
        <f aca="false">IF(H19="USD",G19*비교!$C$4,G19)</f>
        <v>14000</v>
      </c>
      <c r="J19" s="18" t="n">
        <f aca="false">F19*I19</f>
        <v>14000</v>
      </c>
      <c r="K19" s="13" t="s">
        <v>101</v>
      </c>
      <c r="L19" s="17" t="s">
        <v>176</v>
      </c>
      <c r="M19" s="19" t="s">
        <v>177</v>
      </c>
      <c r="N19" s="13" t="s">
        <v>178</v>
      </c>
      <c r="O19" s="20"/>
      <c r="P19" s="14" t="s">
        <v>179</v>
      </c>
    </row>
    <row r="20" customFormat="false" ht="15" hidden="false" customHeight="false" outlineLevel="0" collapsed="false">
      <c r="A20" s="13" t="s">
        <v>13</v>
      </c>
      <c r="B20" s="13" t="s">
        <v>180</v>
      </c>
      <c r="C20" s="14" t="s">
        <v>181</v>
      </c>
      <c r="D20" s="15" t="n">
        <v>6</v>
      </c>
      <c r="E20" s="15" t="n">
        <v>0</v>
      </c>
      <c r="F20" s="13" t="n">
        <f aca="false">D20+E20*비교!$C$5</f>
        <v>6</v>
      </c>
      <c r="G20" s="16" t="n">
        <v>100</v>
      </c>
      <c r="H20" s="17" t="s">
        <v>72</v>
      </c>
      <c r="I20" s="18" t="n">
        <f aca="false">IF(H20="USD",G20*비교!$C$4,G20)</f>
        <v>100</v>
      </c>
      <c r="J20" s="18" t="n">
        <f aca="false">F20*I20</f>
        <v>600</v>
      </c>
      <c r="K20" s="13" t="s">
        <v>101</v>
      </c>
      <c r="L20" s="13" t="s">
        <v>102</v>
      </c>
      <c r="M20" s="19" t="s">
        <v>182</v>
      </c>
      <c r="N20" s="13" t="s">
        <v>115</v>
      </c>
      <c r="O20" s="20"/>
      <c r="P20" s="20" t="s">
        <v>183</v>
      </c>
    </row>
    <row r="21" customFormat="false" ht="38.05" hidden="false" customHeight="false" outlineLevel="0" collapsed="false">
      <c r="A21" s="13" t="s">
        <v>14</v>
      </c>
      <c r="B21" s="13" t="s">
        <v>184</v>
      </c>
      <c r="C21" s="14" t="s">
        <v>185</v>
      </c>
      <c r="D21" s="15" t="n">
        <v>11</v>
      </c>
      <c r="E21" s="15" t="n">
        <v>0</v>
      </c>
      <c r="F21" s="13" t="n">
        <f aca="false">D21+E21*비교!$C$5</f>
        <v>11</v>
      </c>
      <c r="G21" s="16" t="n">
        <v>1200</v>
      </c>
      <c r="H21" s="17" t="s">
        <v>72</v>
      </c>
      <c r="I21" s="18" t="n">
        <f aca="false">IF(H21="USD",G21*비교!$C$4,G21)</f>
        <v>1200</v>
      </c>
      <c r="J21" s="18" t="n">
        <f aca="false">F21*I21</f>
        <v>13200</v>
      </c>
      <c r="K21" s="13" t="s">
        <v>101</v>
      </c>
      <c r="L21" s="13" t="s">
        <v>102</v>
      </c>
      <c r="M21" s="19" t="s">
        <v>186</v>
      </c>
      <c r="N21" s="13" t="s">
        <v>115</v>
      </c>
      <c r="O21" s="20" t="s">
        <v>187</v>
      </c>
      <c r="P21" s="14" t="s">
        <v>188</v>
      </c>
    </row>
    <row r="22" customFormat="false" ht="38.05" hidden="false" customHeight="false" outlineLevel="0" collapsed="false">
      <c r="A22" s="13" t="s">
        <v>14</v>
      </c>
      <c r="B22" s="13" t="s">
        <v>189</v>
      </c>
      <c r="C22" s="14" t="s">
        <v>190</v>
      </c>
      <c r="D22" s="15" t="n">
        <v>3</v>
      </c>
      <c r="E22" s="15" t="n">
        <v>0</v>
      </c>
      <c r="F22" s="13" t="n">
        <f aca="false">D22+E22*비교!$C$5</f>
        <v>3</v>
      </c>
      <c r="G22" s="16" t="n">
        <v>1000</v>
      </c>
      <c r="H22" s="17" t="s">
        <v>72</v>
      </c>
      <c r="I22" s="18" t="n">
        <f aca="false">IF(H22="USD",G22*비교!$C$4,G22)</f>
        <v>1000</v>
      </c>
      <c r="J22" s="18" t="n">
        <f aca="false">F22*I22</f>
        <v>3000</v>
      </c>
      <c r="K22" s="13" t="s">
        <v>101</v>
      </c>
      <c r="L22" s="13" t="s">
        <v>102</v>
      </c>
      <c r="M22" s="19" t="s">
        <v>191</v>
      </c>
      <c r="N22" s="13" t="s">
        <v>115</v>
      </c>
      <c r="O22" s="20" t="s">
        <v>192</v>
      </c>
      <c r="P22" s="14" t="s">
        <v>193</v>
      </c>
    </row>
    <row r="23" customFormat="false" ht="15" hidden="false" customHeight="false" outlineLevel="0" collapsed="false">
      <c r="A23" s="13" t="s">
        <v>14</v>
      </c>
      <c r="B23" s="13" t="s">
        <v>194</v>
      </c>
      <c r="C23" s="14" t="s">
        <v>195</v>
      </c>
      <c r="D23" s="15" t="n">
        <v>1</v>
      </c>
      <c r="E23" s="15" t="n">
        <v>0</v>
      </c>
      <c r="F23" s="13" t="n">
        <f aca="false">D23+E23*비교!$C$5</f>
        <v>1</v>
      </c>
      <c r="G23" s="16" t="n">
        <v>6000</v>
      </c>
      <c r="H23" s="17" t="s">
        <v>72</v>
      </c>
      <c r="I23" s="18" t="n">
        <f aca="false">IF(H23="USD",G23*비교!$C$4,G23)</f>
        <v>6000</v>
      </c>
      <c r="J23" s="18" t="n">
        <f aca="false">F23*I23</f>
        <v>6000</v>
      </c>
      <c r="K23" s="13" t="s">
        <v>101</v>
      </c>
      <c r="L23" s="13" t="s">
        <v>102</v>
      </c>
      <c r="M23" s="19" t="s">
        <v>196</v>
      </c>
      <c r="N23" s="13" t="s">
        <v>115</v>
      </c>
      <c r="O23" s="20"/>
      <c r="P23" s="20" t="s">
        <v>197</v>
      </c>
    </row>
    <row r="24" customFormat="false" ht="29.85" hidden="false" customHeight="false" outlineLevel="0" collapsed="false">
      <c r="A24" s="13" t="s">
        <v>14</v>
      </c>
      <c r="B24" s="13" t="s">
        <v>231</v>
      </c>
      <c r="C24" s="14" t="s">
        <v>232</v>
      </c>
      <c r="D24" s="15" t="n">
        <v>1</v>
      </c>
      <c r="E24" s="15" t="n">
        <v>0</v>
      </c>
      <c r="F24" s="13" t="n">
        <f aca="false">D24+E24*비교!$C$5</f>
        <v>1</v>
      </c>
      <c r="G24" s="29" t="n">
        <v>8</v>
      </c>
      <c r="H24" s="17" t="s">
        <v>94</v>
      </c>
      <c r="I24" s="18" t="n">
        <f aca="false">IF(H24="USD",G24*비교!$C$4,G24)</f>
        <v>11200</v>
      </c>
      <c r="J24" s="18" t="n">
        <f aca="false">F24*I24</f>
        <v>11200</v>
      </c>
      <c r="K24" s="13" t="s">
        <v>101</v>
      </c>
      <c r="L24" s="17" t="s">
        <v>176</v>
      </c>
      <c r="M24" s="19" t="s">
        <v>177</v>
      </c>
      <c r="N24" s="13" t="s">
        <v>178</v>
      </c>
      <c r="O24" s="20"/>
      <c r="P24" s="14" t="s">
        <v>233</v>
      </c>
    </row>
    <row r="25" customFormat="false" ht="15" hidden="false" customHeight="false" outlineLevel="0" collapsed="false">
      <c r="A25" s="13" t="s">
        <v>15</v>
      </c>
      <c r="B25" s="13" t="s">
        <v>208</v>
      </c>
      <c r="C25" s="14" t="s">
        <v>209</v>
      </c>
      <c r="D25" s="15" t="n">
        <v>1</v>
      </c>
      <c r="E25" s="15" t="n">
        <v>0</v>
      </c>
      <c r="F25" s="13" t="n">
        <f aca="false">D25+E25*비교!$C$5</f>
        <v>1</v>
      </c>
      <c r="G25" s="16" t="n">
        <v>15000</v>
      </c>
      <c r="H25" s="17" t="s">
        <v>72</v>
      </c>
      <c r="I25" s="18" t="n">
        <f aca="false">IF(H25="USD",G25*비교!$C$4,G25)</f>
        <v>15000</v>
      </c>
      <c r="J25" s="18" t="n">
        <f aca="false">F25*I25</f>
        <v>15000</v>
      </c>
      <c r="K25" s="13" t="s">
        <v>101</v>
      </c>
      <c r="L25" s="13" t="s">
        <v>113</v>
      </c>
      <c r="M25" s="19" t="s">
        <v>210</v>
      </c>
      <c r="N25" s="13" t="s">
        <v>115</v>
      </c>
      <c r="O25" s="20"/>
      <c r="P25" s="20" t="s">
        <v>211</v>
      </c>
    </row>
    <row r="26" customFormat="false" ht="15" hidden="false" customHeight="false" outlineLevel="0" collapsed="false">
      <c r="A26" s="13" t="s">
        <v>15</v>
      </c>
      <c r="B26" s="13" t="s">
        <v>212</v>
      </c>
      <c r="C26" s="14" t="s">
        <v>213</v>
      </c>
      <c r="D26" s="15" t="n">
        <v>1</v>
      </c>
      <c r="E26" s="15" t="n">
        <v>0</v>
      </c>
      <c r="F26" s="13" t="n">
        <f aca="false">D26+E26*비교!$C$5</f>
        <v>1</v>
      </c>
      <c r="G26" s="16" t="n">
        <v>18000</v>
      </c>
      <c r="H26" s="17" t="s">
        <v>72</v>
      </c>
      <c r="I26" s="18" t="n">
        <f aca="false">IF(H26="USD",G26*비교!$C$4,G26)</f>
        <v>18000</v>
      </c>
      <c r="J26" s="18" t="n">
        <f aca="false">F26*I26</f>
        <v>18000</v>
      </c>
      <c r="K26" s="13" t="s">
        <v>101</v>
      </c>
      <c r="L26" s="13" t="s">
        <v>113</v>
      </c>
      <c r="M26" s="19" t="s">
        <v>214</v>
      </c>
      <c r="N26" s="13" t="s">
        <v>115</v>
      </c>
      <c r="O26" s="20"/>
      <c r="P26" s="20" t="s">
        <v>215</v>
      </c>
    </row>
    <row r="28" customFormat="false" ht="15" hidden="false" customHeight="false" outlineLevel="0" collapsed="false">
      <c r="I28" s="7" t="s">
        <v>18</v>
      </c>
      <c r="J28" s="8" t="n">
        <f aca="false">SUM(J6:J26)</f>
        <v>560666</v>
      </c>
    </row>
    <row r="29" customFormat="false" ht="15" hidden="false" customHeight="false" outlineLevel="0" collapsed="false">
      <c r="I29" s="7" t="s">
        <v>220</v>
      </c>
      <c r="J29" s="30" t="n">
        <f aca="false">IFERROR(J6/J28,0)</f>
        <v>0.659216003824024</v>
      </c>
    </row>
  </sheetData>
  <autoFilter ref="A5:P26"/>
  <hyperlinks>
    <hyperlink ref="M6" r:id="rId1" display="https://www.robotis.com/shop/item.php?it_id=902-0163-000"/>
    <hyperlink ref="M7" r:id="rId2" display="https://search.shopping.naver.com/search/all?query=CP2102+USB+TTL+%EB%AA%A8%EB%93%88&amp;sort=price_asc"/>
    <hyperlink ref="M8" r:id="rId3" display="https://arace.tech/products/radxa-zero-3w"/>
    <hyperlink ref="M9" r:id="rId4" display="https://www.aliexpress.us/item/3256806829446736.html"/>
    <hyperlink ref="M10" r:id="rId5" display="https://search.shopping.naver.com/search/all?query=microSD+32GB+A1&amp;sort=price_asc"/>
    <hyperlink ref="M11" r:id="rId6" display="https://www.sparkfun.com/sparkfun-6dof-imu-breakout-lsm6dsv16x-qwiic.html"/>
    <hyperlink ref="M12" r:id="rId7" display="https://search.shopping.naver.com/search/all?query=ESP32-C3+SuperMini&amp;sort=price_asc"/>
    <hyperlink ref="M13" r:id="rId8" display="https://search.shopping.naver.com/search/all?query=NP-F550+%ED%98%B8%ED%99%98+%EB%B0%B0%ED%84%B0%EB%A6%AC+%EC%B6%A9%EC%A0%84%EA%B8%B0+%EC%84%B8%ED%8A%B8&amp;sort=price_asc"/>
    <hyperlink ref="M14" r:id="rId9" display="https://www.aliexpress.com/w/wholesale-NP-F-battery-plate-holder.html?SortType=price_asc"/>
    <hyperlink ref="M15" r:id="rId10" display="https://search.shopping.naver.com/search/all?query=MP1584EN+%EA%B0%95%EC%95%95+%EB%AA%A8%EB%93%88&amp;sort=price_asc"/>
    <hyperlink ref="M16" r:id="rId11" display="https://search.shopping.naver.com/search/all?query=%EB%AF%B8%EB%8B%88+%EB%A1%9C%EC%BB%A4%EC%8A%A4%EC%9C%84%EC%B9%98+5A&amp;sort=price_asc"/>
    <hyperlink ref="M17" r:id="rId12" display="https://search.shopping.naver.com/search/all?query=%EB%AF%B8%EB%8B%88+%EB%B8%94%EB%A0%88%EC%9D%B4%EB%93%9C+%ED%93%A8%EC%A6%88+%ED%99%80%EB%8D%94&amp;sort=price_asc"/>
    <hyperlink ref="M18" r:id="rId13" display="https://www.lcsc.com/search?q=SN74LVC2G241"/>
    <hyperlink ref="M19" r:id="rId14" display="https://jlcpcb.com/"/>
    <hyperlink ref="M20" r:id="rId15" display="https://www.aliexpress.com/w/wholesale-JST-EH-2.5mm-3pin-header.html?SortType=price_asc"/>
    <hyperlink ref="M21" r:id="rId16" display="https://www.aliexpress.com/w/wholesale-16x22x4-bearing.html?SortType=price_asc"/>
    <hyperlink ref="M22" r:id="rId17" display="https://www.aliexpress.com/w/wholesale-10x15x3-bearing.html?SortType=price_asc"/>
    <hyperlink ref="M23" r:id="rId18" display="https://www.aliexpress.com/w/wholesale-M2-M2.5-M3-screw-kit.html?SortType=price_asc"/>
    <hyperlink ref="M24" r:id="rId19" display="https://jlcpcb.com/"/>
    <hyperlink ref="M25" r:id="rId20" display="https://search.shopping.naver.com/search/all?query=PETG+%ED%95%84%EB%9D%BC%EB%A9%98%ED%8A%B8+1kg&amp;sort=price_asc"/>
    <hyperlink ref="M26" r:id="rId21" display="https://search.shopping.naver.com/search/all?query=TPU+95A+%ED%95%84%EB%9D%BC%EB%A9%98%ED%8A%B8&amp;sort=price_a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5" min="4" style="0" width="6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2"/>
    <col collapsed="false" customWidth="true" hidden="false" outlineLevel="0" max="13" min="13" style="0" width="40"/>
    <col collapsed="false" customWidth="true" hidden="false" outlineLevel="0" max="14" min="14" style="0" width="8"/>
    <col collapsed="false" customWidth="true" hidden="false" outlineLevel="0" max="15" min="15" style="0" width="50"/>
    <col collapsed="false" customWidth="true" hidden="false" outlineLevel="0" max="16" min="16" style="0" width="60"/>
  </cols>
  <sheetData>
    <row r="1" customFormat="false" ht="21.6" hidden="false" customHeight="false" outlineLevel="0" collapsed="false">
      <c r="A1" s="1" t="s">
        <v>234</v>
      </c>
    </row>
    <row r="2" customFormat="false" ht="15" hidden="false" customHeight="false" outlineLevel="0" collapsed="false">
      <c r="A2" s="31" t="s">
        <v>235</v>
      </c>
    </row>
    <row r="3" customFormat="false" ht="15" hidden="false" customHeight="false" outlineLevel="0" collapsed="false">
      <c r="A3" s="2" t="s">
        <v>54</v>
      </c>
    </row>
    <row r="5" customFormat="false" ht="15" hidden="false" customHeight="false" outlineLevel="0" collapsed="false">
      <c r="A5" s="12" t="s">
        <v>4</v>
      </c>
      <c r="B5" s="12" t="s">
        <v>55</v>
      </c>
      <c r="C5" s="12" t="s">
        <v>56</v>
      </c>
      <c r="D5" s="12" t="s">
        <v>57</v>
      </c>
      <c r="E5" s="12" t="s">
        <v>58</v>
      </c>
      <c r="F5" s="12" t="s">
        <v>59</v>
      </c>
      <c r="G5" s="12" t="s">
        <v>60</v>
      </c>
      <c r="H5" s="12" t="s">
        <v>61</v>
      </c>
      <c r="I5" s="12" t="s">
        <v>62</v>
      </c>
      <c r="J5" s="12" t="s">
        <v>63</v>
      </c>
      <c r="K5" s="12" t="s">
        <v>64</v>
      </c>
      <c r="L5" s="12" t="s">
        <v>65</v>
      </c>
      <c r="M5" s="12" t="s">
        <v>66</v>
      </c>
      <c r="N5" s="12" t="s">
        <v>67</v>
      </c>
      <c r="O5" s="12" t="s">
        <v>68</v>
      </c>
      <c r="P5" s="12" t="s">
        <v>69</v>
      </c>
    </row>
    <row r="6" customFormat="false" ht="63.4" hidden="false" customHeight="false" outlineLevel="0" collapsed="false">
      <c r="A6" s="13" t="s">
        <v>8</v>
      </c>
      <c r="B6" s="13" t="s">
        <v>236</v>
      </c>
      <c r="C6" s="14" t="s">
        <v>237</v>
      </c>
      <c r="D6" s="15" t="n">
        <v>11</v>
      </c>
      <c r="E6" s="15" t="n">
        <v>2</v>
      </c>
      <c r="F6" s="13" t="n">
        <f aca="false">D6+E6*비교!$C$5</f>
        <v>13</v>
      </c>
      <c r="G6" s="16" t="n">
        <v>5000</v>
      </c>
      <c r="H6" s="17" t="s">
        <v>72</v>
      </c>
      <c r="I6" s="18" t="n">
        <f aca="false">IF(H6="USD",G6*비교!$C$4,G6)</f>
        <v>5000</v>
      </c>
      <c r="J6" s="18" t="n">
        <f aca="false">F6*I6</f>
        <v>65000</v>
      </c>
      <c r="K6" s="13" t="s">
        <v>101</v>
      </c>
      <c r="L6" s="13" t="s">
        <v>238</v>
      </c>
      <c r="M6" s="19" t="s">
        <v>239</v>
      </c>
      <c r="N6" s="13" t="s">
        <v>76</v>
      </c>
      <c r="O6" s="20" t="s">
        <v>240</v>
      </c>
      <c r="P6" s="20" t="s">
        <v>241</v>
      </c>
    </row>
    <row r="7" customFormat="false" ht="29.85" hidden="false" customHeight="false" outlineLevel="0" collapsed="false">
      <c r="A7" s="13" t="s">
        <v>8</v>
      </c>
      <c r="B7" s="13" t="s">
        <v>242</v>
      </c>
      <c r="C7" s="14" t="s">
        <v>243</v>
      </c>
      <c r="D7" s="15" t="n">
        <v>4</v>
      </c>
      <c r="E7" s="15" t="n">
        <v>1</v>
      </c>
      <c r="F7" s="13" t="n">
        <f aca="false">D7+E7*비교!$C$5</f>
        <v>5</v>
      </c>
      <c r="G7" s="16" t="n">
        <v>3000</v>
      </c>
      <c r="H7" s="17" t="s">
        <v>72</v>
      </c>
      <c r="I7" s="18" t="n">
        <f aca="false">IF(H7="USD",G7*비교!$C$4,G7)</f>
        <v>3000</v>
      </c>
      <c r="J7" s="18" t="n">
        <f aca="false">F7*I7</f>
        <v>15000</v>
      </c>
      <c r="K7" s="13" t="s">
        <v>101</v>
      </c>
      <c r="L7" s="13" t="s">
        <v>113</v>
      </c>
      <c r="M7" s="19" t="s">
        <v>244</v>
      </c>
      <c r="N7" s="13" t="s">
        <v>115</v>
      </c>
      <c r="O7" s="20" t="s">
        <v>245</v>
      </c>
      <c r="P7" s="14" t="s">
        <v>246</v>
      </c>
    </row>
    <row r="8" customFormat="false" ht="15" hidden="false" customHeight="false" outlineLevel="0" collapsed="false">
      <c r="A8" s="13" t="s">
        <v>8</v>
      </c>
      <c r="B8" s="13" t="s">
        <v>247</v>
      </c>
      <c r="C8" s="14" t="s">
        <v>248</v>
      </c>
      <c r="D8" s="15" t="n">
        <v>11</v>
      </c>
      <c r="E8" s="15" t="n">
        <v>0</v>
      </c>
      <c r="F8" s="13" t="n">
        <f aca="false">D8+E8*비교!$C$5</f>
        <v>11</v>
      </c>
      <c r="G8" s="16" t="n">
        <v>1500</v>
      </c>
      <c r="H8" s="17" t="s">
        <v>72</v>
      </c>
      <c r="I8" s="18" t="n">
        <f aca="false">IF(H8="USD",G8*비교!$C$4,G8)</f>
        <v>1500</v>
      </c>
      <c r="J8" s="18" t="n">
        <f aca="false">F8*I8</f>
        <v>16500</v>
      </c>
      <c r="K8" s="13" t="s">
        <v>101</v>
      </c>
      <c r="L8" s="13" t="s">
        <v>102</v>
      </c>
      <c r="M8" s="19" t="s">
        <v>249</v>
      </c>
      <c r="N8" s="13" t="s">
        <v>115</v>
      </c>
      <c r="O8" s="20"/>
      <c r="P8" s="20" t="s">
        <v>250</v>
      </c>
    </row>
    <row r="9" customFormat="false" ht="15" hidden="false" customHeight="false" outlineLevel="0" collapsed="false">
      <c r="A9" s="13" t="s">
        <v>8</v>
      </c>
      <c r="B9" s="13" t="s">
        <v>251</v>
      </c>
      <c r="C9" s="20" t="s">
        <v>252</v>
      </c>
      <c r="D9" s="15" t="n">
        <v>15</v>
      </c>
      <c r="E9" s="15" t="n">
        <v>0</v>
      </c>
      <c r="F9" s="13" t="n">
        <f aca="false">D9+E9*비교!$C$5</f>
        <v>15</v>
      </c>
      <c r="G9" s="16" t="n">
        <v>300</v>
      </c>
      <c r="H9" s="17" t="s">
        <v>72</v>
      </c>
      <c r="I9" s="18" t="n">
        <f aca="false">IF(H9="USD",G9*비교!$C$4,G9)</f>
        <v>300</v>
      </c>
      <c r="J9" s="18" t="n">
        <f aca="false">F9*I9</f>
        <v>4500</v>
      </c>
      <c r="K9" s="13" t="s">
        <v>101</v>
      </c>
      <c r="L9" s="13" t="s">
        <v>102</v>
      </c>
      <c r="M9" s="19" t="s">
        <v>253</v>
      </c>
      <c r="N9" s="13" t="s">
        <v>115</v>
      </c>
      <c r="O9" s="20"/>
      <c r="P9" s="20" t="s">
        <v>254</v>
      </c>
    </row>
    <row r="10" customFormat="false" ht="49.25" hidden="false" customHeight="false" outlineLevel="0" collapsed="false">
      <c r="A10" s="21" t="s">
        <v>9</v>
      </c>
      <c r="B10" s="21" t="s">
        <v>255</v>
      </c>
      <c r="C10" s="22" t="s">
        <v>256</v>
      </c>
      <c r="D10" s="23" t="n">
        <v>1</v>
      </c>
      <c r="E10" s="23" t="n">
        <v>0</v>
      </c>
      <c r="F10" s="21" t="n">
        <f aca="false">D10+E10*비교!$C$5</f>
        <v>1</v>
      </c>
      <c r="G10" s="32" t="n">
        <v>30300</v>
      </c>
      <c r="H10" s="25" t="s">
        <v>72</v>
      </c>
      <c r="I10" s="26" t="n">
        <f aca="false">IF(H10="USD",G10*비교!$C$4,G10)</f>
        <v>30300</v>
      </c>
      <c r="J10" s="26" t="n">
        <f aca="false">F10*I10</f>
        <v>30300</v>
      </c>
      <c r="K10" s="21" t="s">
        <v>73</v>
      </c>
      <c r="L10" s="21" t="s">
        <v>257</v>
      </c>
      <c r="M10" s="27" t="s">
        <v>258</v>
      </c>
      <c r="N10" s="21" t="s">
        <v>76</v>
      </c>
      <c r="O10" s="28" t="s">
        <v>259</v>
      </c>
      <c r="P10" s="22" t="s">
        <v>260</v>
      </c>
    </row>
    <row r="11" customFormat="false" ht="15" hidden="false" customHeight="false" outlineLevel="0" collapsed="false">
      <c r="A11" s="13" t="s">
        <v>9</v>
      </c>
      <c r="B11" s="17" t="s">
        <v>227</v>
      </c>
      <c r="C11" s="14" t="s">
        <v>261</v>
      </c>
      <c r="D11" s="15" t="n">
        <v>1</v>
      </c>
      <c r="E11" s="15" t="n">
        <v>0</v>
      </c>
      <c r="F11" s="13" t="n">
        <f aca="false">D11+E11*비교!$C$5</f>
        <v>1</v>
      </c>
      <c r="G11" s="16" t="n">
        <v>6000</v>
      </c>
      <c r="H11" s="17" t="s">
        <v>72</v>
      </c>
      <c r="I11" s="18" t="n">
        <f aca="false">IF(H11="USD",G11*비교!$C$4,G11)</f>
        <v>6000</v>
      </c>
      <c r="J11" s="18" t="n">
        <f aca="false">F11*I11</f>
        <v>6000</v>
      </c>
      <c r="K11" s="13" t="s">
        <v>101</v>
      </c>
      <c r="L11" s="13" t="s">
        <v>113</v>
      </c>
      <c r="M11" s="19" t="s">
        <v>229</v>
      </c>
      <c r="N11" s="13" t="s">
        <v>115</v>
      </c>
      <c r="O11" s="20"/>
      <c r="P11" s="20"/>
    </row>
    <row r="12" customFormat="false" ht="38.05" hidden="false" customHeight="false" outlineLevel="0" collapsed="false">
      <c r="A12" s="13" t="s">
        <v>10</v>
      </c>
      <c r="B12" s="17" t="s">
        <v>262</v>
      </c>
      <c r="C12" s="14" t="s">
        <v>263</v>
      </c>
      <c r="D12" s="15" t="n">
        <v>1</v>
      </c>
      <c r="E12" s="15" t="n">
        <v>0</v>
      </c>
      <c r="F12" s="13" t="n">
        <f aca="false">D12+E12*비교!$C$5</f>
        <v>1</v>
      </c>
      <c r="G12" s="16" t="n">
        <v>12000</v>
      </c>
      <c r="H12" s="17" t="s">
        <v>72</v>
      </c>
      <c r="I12" s="18" t="n">
        <f aca="false">IF(H12="USD",G12*비교!$C$4,G12)</f>
        <v>12000</v>
      </c>
      <c r="J12" s="18" t="n">
        <f aca="false">F12*I12</f>
        <v>12000</v>
      </c>
      <c r="K12" s="13" t="s">
        <v>101</v>
      </c>
      <c r="L12" s="13" t="s">
        <v>102</v>
      </c>
      <c r="M12" s="19" t="s">
        <v>264</v>
      </c>
      <c r="N12" s="13" t="s">
        <v>115</v>
      </c>
      <c r="O12" s="14" t="s">
        <v>265</v>
      </c>
      <c r="P12" s="20" t="s">
        <v>266</v>
      </c>
    </row>
    <row r="13" customFormat="false" ht="26.85" hidden="false" customHeight="false" outlineLevel="0" collapsed="false">
      <c r="A13" s="13" t="s">
        <v>10</v>
      </c>
      <c r="B13" s="13" t="s">
        <v>267</v>
      </c>
      <c r="C13" s="14" t="s">
        <v>268</v>
      </c>
      <c r="D13" s="15" t="n">
        <v>4</v>
      </c>
      <c r="E13" s="15" t="n">
        <v>1</v>
      </c>
      <c r="F13" s="13" t="n">
        <f aca="false">D13+E13*비교!$C$5</f>
        <v>5</v>
      </c>
      <c r="G13" s="16" t="n">
        <v>3000</v>
      </c>
      <c r="H13" s="17" t="s">
        <v>72</v>
      </c>
      <c r="I13" s="18" t="n">
        <f aca="false">IF(H13="USD",G13*비교!$C$4,G13)</f>
        <v>3000</v>
      </c>
      <c r="J13" s="18" t="n">
        <f aca="false">F13*I13</f>
        <v>15000</v>
      </c>
      <c r="K13" s="13" t="s">
        <v>101</v>
      </c>
      <c r="L13" s="13" t="s">
        <v>113</v>
      </c>
      <c r="M13" s="19" t="s">
        <v>269</v>
      </c>
      <c r="N13" s="13" t="s">
        <v>115</v>
      </c>
      <c r="O13" s="20" t="s">
        <v>270</v>
      </c>
      <c r="P13" s="14" t="s">
        <v>271</v>
      </c>
    </row>
    <row r="14" customFormat="false" ht="15" hidden="false" customHeight="false" outlineLevel="0" collapsed="false">
      <c r="A14" s="13" t="s">
        <v>10</v>
      </c>
      <c r="B14" s="13" t="s">
        <v>272</v>
      </c>
      <c r="C14" s="14" t="s">
        <v>273</v>
      </c>
      <c r="D14" s="15" t="n">
        <v>1</v>
      </c>
      <c r="E14" s="15" t="n">
        <v>0</v>
      </c>
      <c r="F14" s="13" t="n">
        <f aca="false">D14+E14*비교!$C$5</f>
        <v>1</v>
      </c>
      <c r="G14" s="16" t="n">
        <v>5000</v>
      </c>
      <c r="H14" s="17" t="s">
        <v>72</v>
      </c>
      <c r="I14" s="18" t="n">
        <f aca="false">IF(H14="USD",G14*비교!$C$4,G14)</f>
        <v>5000</v>
      </c>
      <c r="J14" s="18" t="n">
        <f aca="false">F14*I14</f>
        <v>5000</v>
      </c>
      <c r="K14" s="13" t="s">
        <v>101</v>
      </c>
      <c r="L14" s="13" t="s">
        <v>113</v>
      </c>
      <c r="M14" s="19" t="s">
        <v>274</v>
      </c>
      <c r="N14" s="13" t="s">
        <v>115</v>
      </c>
      <c r="O14" s="20"/>
      <c r="P14" s="20" t="s">
        <v>275</v>
      </c>
    </row>
    <row r="15" customFormat="false" ht="26.85" hidden="false" customHeight="false" outlineLevel="0" collapsed="false">
      <c r="A15" s="13" t="s">
        <v>17</v>
      </c>
      <c r="B15" s="17" t="s">
        <v>276</v>
      </c>
      <c r="C15" s="14" t="s">
        <v>277</v>
      </c>
      <c r="D15" s="15" t="n">
        <v>1</v>
      </c>
      <c r="E15" s="15" t="n">
        <v>0</v>
      </c>
      <c r="F15" s="13" t="n">
        <f aca="false">D15+E15*비교!$C$5</f>
        <v>1</v>
      </c>
      <c r="G15" s="16" t="n">
        <v>4000</v>
      </c>
      <c r="H15" s="17" t="s">
        <v>72</v>
      </c>
      <c r="I15" s="18" t="n">
        <f aca="false">IF(H15="USD",G15*비교!$C$4,G15)</f>
        <v>4000</v>
      </c>
      <c r="J15" s="18" t="n">
        <f aca="false">F15*I15</f>
        <v>4000</v>
      </c>
      <c r="K15" s="13" t="s">
        <v>101</v>
      </c>
      <c r="L15" s="13" t="s">
        <v>113</v>
      </c>
      <c r="M15" s="19" t="s">
        <v>278</v>
      </c>
      <c r="N15" s="13" t="s">
        <v>115</v>
      </c>
      <c r="O15" s="20" t="s">
        <v>279</v>
      </c>
      <c r="P15" s="14" t="s">
        <v>280</v>
      </c>
    </row>
    <row r="16" customFormat="false" ht="15" hidden="false" customHeight="false" outlineLevel="0" collapsed="false">
      <c r="A16" s="13" t="s">
        <v>17</v>
      </c>
      <c r="B16" s="13" t="s">
        <v>281</v>
      </c>
      <c r="C16" s="20" t="s">
        <v>282</v>
      </c>
      <c r="D16" s="15" t="n">
        <v>1</v>
      </c>
      <c r="E16" s="15" t="n">
        <v>0</v>
      </c>
      <c r="F16" s="13" t="n">
        <f aca="false">D16+E16*비교!$C$5</f>
        <v>1</v>
      </c>
      <c r="G16" s="16" t="n">
        <v>5000</v>
      </c>
      <c r="H16" s="17" t="s">
        <v>72</v>
      </c>
      <c r="I16" s="18" t="n">
        <f aca="false">IF(H16="USD",G16*비교!$C$4,G16)</f>
        <v>5000</v>
      </c>
      <c r="J16" s="18" t="n">
        <f aca="false">F16*I16</f>
        <v>5000</v>
      </c>
      <c r="K16" s="13" t="s">
        <v>101</v>
      </c>
      <c r="L16" s="13" t="s">
        <v>113</v>
      </c>
      <c r="M16" s="19" t="s">
        <v>283</v>
      </c>
      <c r="N16" s="13" t="s">
        <v>115</v>
      </c>
      <c r="O16" s="20"/>
      <c r="P16" s="20" t="s">
        <v>284</v>
      </c>
    </row>
    <row r="17" customFormat="false" ht="15" hidden="false" customHeight="false" outlineLevel="0" collapsed="false">
      <c r="A17" s="13" t="s">
        <v>12</v>
      </c>
      <c r="B17" s="13" t="s">
        <v>285</v>
      </c>
      <c r="C17" s="14" t="s">
        <v>286</v>
      </c>
      <c r="D17" s="15" t="n">
        <v>1</v>
      </c>
      <c r="E17" s="15" t="n">
        <v>0</v>
      </c>
      <c r="F17" s="13" t="n">
        <f aca="false">D17+E17*비교!$C$5</f>
        <v>1</v>
      </c>
      <c r="G17" s="16" t="n">
        <v>20000</v>
      </c>
      <c r="H17" s="17" t="s">
        <v>72</v>
      </c>
      <c r="I17" s="18" t="n">
        <f aca="false">IF(H17="USD",G17*비교!$C$4,G17)</f>
        <v>20000</v>
      </c>
      <c r="J17" s="18" t="n">
        <f aca="false">F17*I17</f>
        <v>20000</v>
      </c>
      <c r="K17" s="13" t="s">
        <v>101</v>
      </c>
      <c r="L17" s="13" t="s">
        <v>113</v>
      </c>
      <c r="M17" s="19" t="s">
        <v>287</v>
      </c>
      <c r="N17" s="13" t="s">
        <v>115</v>
      </c>
      <c r="O17" s="20"/>
      <c r="P17" s="20" t="s">
        <v>288</v>
      </c>
    </row>
    <row r="18" customFormat="false" ht="15" hidden="false" customHeight="false" outlineLevel="0" collapsed="false">
      <c r="A18" s="13" t="s">
        <v>12</v>
      </c>
      <c r="B18" s="13" t="s">
        <v>289</v>
      </c>
      <c r="C18" s="14" t="s">
        <v>290</v>
      </c>
      <c r="D18" s="15" t="n">
        <v>1</v>
      </c>
      <c r="E18" s="15" t="n">
        <v>0</v>
      </c>
      <c r="F18" s="13" t="n">
        <f aca="false">D18+E18*비교!$C$5</f>
        <v>1</v>
      </c>
      <c r="G18" s="16" t="n">
        <v>10000</v>
      </c>
      <c r="H18" s="17" t="s">
        <v>72</v>
      </c>
      <c r="I18" s="18" t="n">
        <f aca="false">IF(H18="USD",G18*비교!$C$4,G18)</f>
        <v>10000</v>
      </c>
      <c r="J18" s="18" t="n">
        <f aca="false">F18*I18</f>
        <v>10000</v>
      </c>
      <c r="K18" s="13" t="s">
        <v>101</v>
      </c>
      <c r="L18" s="13" t="s">
        <v>113</v>
      </c>
      <c r="M18" s="19" t="s">
        <v>291</v>
      </c>
      <c r="N18" s="13" t="s">
        <v>115</v>
      </c>
      <c r="O18" s="20"/>
      <c r="P18" s="20" t="s">
        <v>292</v>
      </c>
    </row>
    <row r="19" customFormat="false" ht="15" hidden="false" customHeight="false" outlineLevel="0" collapsed="false">
      <c r="A19" s="13" t="s">
        <v>12</v>
      </c>
      <c r="B19" s="13" t="s">
        <v>293</v>
      </c>
      <c r="C19" s="14" t="s">
        <v>294</v>
      </c>
      <c r="D19" s="15" t="n">
        <v>1</v>
      </c>
      <c r="E19" s="15" t="n">
        <v>0</v>
      </c>
      <c r="F19" s="13" t="n">
        <f aca="false">D19+E19*비교!$C$5</f>
        <v>1</v>
      </c>
      <c r="G19" s="16" t="n">
        <v>12000</v>
      </c>
      <c r="H19" s="17" t="s">
        <v>72</v>
      </c>
      <c r="I19" s="18" t="n">
        <f aca="false">IF(H19="USD",G19*비교!$C$4,G19)</f>
        <v>12000</v>
      </c>
      <c r="J19" s="18" t="n">
        <f aca="false">F19*I19</f>
        <v>12000</v>
      </c>
      <c r="K19" s="13" t="s">
        <v>101</v>
      </c>
      <c r="L19" s="13" t="s">
        <v>113</v>
      </c>
      <c r="M19" s="19" t="s">
        <v>295</v>
      </c>
      <c r="N19" s="13" t="s">
        <v>115</v>
      </c>
      <c r="O19" s="20"/>
      <c r="P19" s="14" t="s">
        <v>296</v>
      </c>
    </row>
    <row r="20" customFormat="false" ht="15" hidden="false" customHeight="false" outlineLevel="0" collapsed="false">
      <c r="A20" s="13" t="s">
        <v>12</v>
      </c>
      <c r="B20" s="13" t="s">
        <v>297</v>
      </c>
      <c r="C20" s="14" t="s">
        <v>298</v>
      </c>
      <c r="D20" s="15" t="n">
        <v>2</v>
      </c>
      <c r="E20" s="15" t="n">
        <v>0</v>
      </c>
      <c r="F20" s="13" t="n">
        <f aca="false">D20+E20*비교!$C$5</f>
        <v>2</v>
      </c>
      <c r="G20" s="16" t="n">
        <v>1500</v>
      </c>
      <c r="H20" s="17" t="s">
        <v>72</v>
      </c>
      <c r="I20" s="18" t="n">
        <f aca="false">IF(H20="USD",G20*비교!$C$4,G20)</f>
        <v>1500</v>
      </c>
      <c r="J20" s="18" t="n">
        <f aca="false">F20*I20</f>
        <v>3000</v>
      </c>
      <c r="K20" s="13" t="s">
        <v>101</v>
      </c>
      <c r="L20" s="13" t="s">
        <v>113</v>
      </c>
      <c r="M20" s="19" t="s">
        <v>157</v>
      </c>
      <c r="N20" s="13" t="s">
        <v>115</v>
      </c>
      <c r="O20" s="20"/>
      <c r="P20" s="14" t="s">
        <v>299</v>
      </c>
    </row>
    <row r="21" customFormat="false" ht="15" hidden="false" customHeight="false" outlineLevel="0" collapsed="false">
      <c r="A21" s="13" t="s">
        <v>12</v>
      </c>
      <c r="B21" s="13" t="s">
        <v>300</v>
      </c>
      <c r="C21" s="14" t="s">
        <v>301</v>
      </c>
      <c r="D21" s="15" t="n">
        <v>2</v>
      </c>
      <c r="E21" s="15" t="n">
        <v>0</v>
      </c>
      <c r="F21" s="13" t="n">
        <f aca="false">D21+E21*비교!$C$5</f>
        <v>2</v>
      </c>
      <c r="G21" s="16" t="n">
        <v>500</v>
      </c>
      <c r="H21" s="17" t="s">
        <v>72</v>
      </c>
      <c r="I21" s="18" t="n">
        <f aca="false">IF(H21="USD",G21*비교!$C$4,G21)</f>
        <v>500</v>
      </c>
      <c r="J21" s="18" t="n">
        <f aca="false">F21*I21</f>
        <v>1000</v>
      </c>
      <c r="K21" s="13" t="s">
        <v>101</v>
      </c>
      <c r="L21" s="13" t="s">
        <v>113</v>
      </c>
      <c r="M21" s="19" t="s">
        <v>302</v>
      </c>
      <c r="N21" s="13" t="s">
        <v>115</v>
      </c>
      <c r="O21" s="20"/>
      <c r="P21" s="20" t="s">
        <v>303</v>
      </c>
    </row>
    <row r="22" customFormat="false" ht="15" hidden="false" customHeight="false" outlineLevel="0" collapsed="false">
      <c r="A22" s="13" t="s">
        <v>12</v>
      </c>
      <c r="B22" s="13" t="s">
        <v>304</v>
      </c>
      <c r="C22" s="20" t="s">
        <v>305</v>
      </c>
      <c r="D22" s="15" t="n">
        <v>1</v>
      </c>
      <c r="E22" s="15" t="n">
        <v>0</v>
      </c>
      <c r="F22" s="13" t="n">
        <f aca="false">D22+E22*비교!$C$5</f>
        <v>1</v>
      </c>
      <c r="G22" s="16" t="n">
        <v>4000</v>
      </c>
      <c r="H22" s="17" t="s">
        <v>72</v>
      </c>
      <c r="I22" s="18" t="n">
        <f aca="false">IF(H22="USD",G22*비교!$C$4,G22)</f>
        <v>4000</v>
      </c>
      <c r="J22" s="18" t="n">
        <f aca="false">F22*I22</f>
        <v>4000</v>
      </c>
      <c r="K22" s="13" t="s">
        <v>101</v>
      </c>
      <c r="L22" s="13" t="s">
        <v>113</v>
      </c>
      <c r="M22" s="19" t="s">
        <v>306</v>
      </c>
      <c r="N22" s="13" t="s">
        <v>115</v>
      </c>
      <c r="O22" s="20"/>
      <c r="P22" s="20"/>
    </row>
    <row r="23" customFormat="false" ht="38.05" hidden="false" customHeight="false" outlineLevel="0" collapsed="false">
      <c r="A23" s="13" t="s">
        <v>14</v>
      </c>
      <c r="B23" s="13" t="s">
        <v>307</v>
      </c>
      <c r="C23" s="14" t="s">
        <v>308</v>
      </c>
      <c r="D23" s="15" t="n">
        <v>16</v>
      </c>
      <c r="E23" s="15" t="n">
        <v>4</v>
      </c>
      <c r="F23" s="13" t="n">
        <f aca="false">D23+E23*비교!$C$5</f>
        <v>20</v>
      </c>
      <c r="G23" s="16" t="n">
        <v>300</v>
      </c>
      <c r="H23" s="17" t="s">
        <v>72</v>
      </c>
      <c r="I23" s="18" t="n">
        <f aca="false">IF(H23="USD",G23*비교!$C$4,G23)</f>
        <v>300</v>
      </c>
      <c r="J23" s="18" t="n">
        <f aca="false">F23*I23</f>
        <v>6000</v>
      </c>
      <c r="K23" s="13" t="s">
        <v>101</v>
      </c>
      <c r="L23" s="13" t="s">
        <v>102</v>
      </c>
      <c r="M23" s="19" t="s">
        <v>309</v>
      </c>
      <c r="N23" s="13" t="s">
        <v>115</v>
      </c>
      <c r="O23" s="20" t="s">
        <v>310</v>
      </c>
      <c r="P23" s="20" t="s">
        <v>311</v>
      </c>
    </row>
    <row r="24" customFormat="false" ht="15" hidden="false" customHeight="false" outlineLevel="0" collapsed="false">
      <c r="A24" s="13" t="s">
        <v>14</v>
      </c>
      <c r="B24" s="13" t="s">
        <v>194</v>
      </c>
      <c r="C24" s="14" t="s">
        <v>312</v>
      </c>
      <c r="D24" s="15" t="n">
        <v>1</v>
      </c>
      <c r="E24" s="15" t="n">
        <v>0</v>
      </c>
      <c r="F24" s="13" t="n">
        <f aca="false">D24+E24*비교!$C$5</f>
        <v>1</v>
      </c>
      <c r="G24" s="16" t="n">
        <v>8000</v>
      </c>
      <c r="H24" s="17" t="s">
        <v>72</v>
      </c>
      <c r="I24" s="18" t="n">
        <f aca="false">IF(H24="USD",G24*비교!$C$4,G24)</f>
        <v>8000</v>
      </c>
      <c r="J24" s="18" t="n">
        <f aca="false">F24*I24</f>
        <v>8000</v>
      </c>
      <c r="K24" s="13" t="s">
        <v>101</v>
      </c>
      <c r="L24" s="13" t="s">
        <v>102</v>
      </c>
      <c r="M24" s="19" t="s">
        <v>313</v>
      </c>
      <c r="N24" s="13" t="s">
        <v>115</v>
      </c>
      <c r="O24" s="20"/>
      <c r="P24" s="20" t="s">
        <v>292</v>
      </c>
    </row>
    <row r="25" customFormat="false" ht="15" hidden="false" customHeight="false" outlineLevel="0" collapsed="false">
      <c r="A25" s="13" t="s">
        <v>15</v>
      </c>
      <c r="B25" s="13" t="s">
        <v>208</v>
      </c>
      <c r="C25" s="14" t="s">
        <v>209</v>
      </c>
      <c r="D25" s="15" t="n">
        <v>1</v>
      </c>
      <c r="E25" s="15" t="n">
        <v>0</v>
      </c>
      <c r="F25" s="13" t="n">
        <f aca="false">D25+E25*비교!$C$5</f>
        <v>1</v>
      </c>
      <c r="G25" s="16" t="n">
        <v>15000</v>
      </c>
      <c r="H25" s="17" t="s">
        <v>72</v>
      </c>
      <c r="I25" s="18" t="n">
        <f aca="false">IF(H25="USD",G25*비교!$C$4,G25)</f>
        <v>15000</v>
      </c>
      <c r="J25" s="18" t="n">
        <f aca="false">F25*I25</f>
        <v>15000</v>
      </c>
      <c r="K25" s="13" t="s">
        <v>101</v>
      </c>
      <c r="L25" s="13" t="s">
        <v>113</v>
      </c>
      <c r="M25" s="19" t="s">
        <v>210</v>
      </c>
      <c r="N25" s="13" t="s">
        <v>115</v>
      </c>
      <c r="O25" s="20"/>
      <c r="P25" s="14" t="s">
        <v>314</v>
      </c>
    </row>
    <row r="26" customFormat="false" ht="15" hidden="false" customHeight="false" outlineLevel="0" collapsed="false">
      <c r="A26" s="13" t="s">
        <v>15</v>
      </c>
      <c r="B26" s="13" t="s">
        <v>212</v>
      </c>
      <c r="C26" s="14" t="s">
        <v>315</v>
      </c>
      <c r="D26" s="15" t="n">
        <v>1</v>
      </c>
      <c r="E26" s="15" t="n">
        <v>0</v>
      </c>
      <c r="F26" s="13" t="n">
        <f aca="false">D26+E26*비교!$C$5</f>
        <v>1</v>
      </c>
      <c r="G26" s="16" t="n">
        <v>18000</v>
      </c>
      <c r="H26" s="17" t="s">
        <v>72</v>
      </c>
      <c r="I26" s="18" t="n">
        <f aca="false">IF(H26="USD",G26*비교!$C$4,G26)</f>
        <v>18000</v>
      </c>
      <c r="J26" s="18" t="n">
        <f aca="false">F26*I26</f>
        <v>18000</v>
      </c>
      <c r="K26" s="13" t="s">
        <v>101</v>
      </c>
      <c r="L26" s="13" t="s">
        <v>113</v>
      </c>
      <c r="M26" s="19" t="s">
        <v>214</v>
      </c>
      <c r="N26" s="13" t="s">
        <v>115</v>
      </c>
      <c r="O26" s="20"/>
      <c r="P26" s="20" t="s">
        <v>316</v>
      </c>
    </row>
    <row r="28" customFormat="false" ht="15" hidden="false" customHeight="false" outlineLevel="0" collapsed="false">
      <c r="I28" s="7" t="s">
        <v>18</v>
      </c>
      <c r="J28" s="8" t="n">
        <f aca="false">SUM(J6:J26)</f>
        <v>275300</v>
      </c>
    </row>
    <row r="29" customFormat="false" ht="15" hidden="false" customHeight="false" outlineLevel="0" collapsed="false">
      <c r="I29" s="7" t="s">
        <v>220</v>
      </c>
      <c r="J29" s="30" t="n">
        <f aca="false">IFERROR(J6/J28,0)</f>
        <v>0.236106066109699</v>
      </c>
    </row>
  </sheetData>
  <autoFilter ref="A5:P26"/>
  <hyperlinks>
    <hyperlink ref="M6" r:id="rId1" display="https://www.devicemart.co.kr/goods/view?no=1313388"/>
    <hyperlink ref="M7" r:id="rId2" display="https://search.shopping.naver.com/search/all?query=MG90S+%EC%84%9C%EB%B3%B4%EB%AA%A8%ED%84%B0&amp;sort=price_asc"/>
    <hyperlink ref="M8" r:id="rId3" display="https://www.aliexpress.com/w/wholesale-25T-aluminum-servo-horn.html?SortType=price_asc"/>
    <hyperlink ref="M9" r:id="rId4" display="https://www.aliexpress.com/w/wholesale-servo-extension-cable-30cm.html?SortType=price_asc"/>
    <hyperlink ref="M10" r:id="rId5" display="https://eduino.kr/product/라즈베리파이-제로-2-w-raspberry-pi-zero-2-w/2949/{$url}"/>
    <hyperlink ref="M11" r:id="rId6" display="https://search.shopping.naver.com/search/all?query=microSD+32GB+A1&amp;sort=price_asc"/>
    <hyperlink ref="M12" r:id="rId7" display="https://www.aliexpress.com/w/wholesale-BNO085-module.html?SortType=price_asc"/>
    <hyperlink ref="M13" r:id="rId8" display="https://search.shopping.naver.com/search/all?query=ADS1115+%EB%AA%A8%EB%93%88&amp;sort=price_asc"/>
    <hyperlink ref="M14" r:id="rId9" display="https://search.shopping.naver.com/search/all?query=AWG30+%EB%9E%A9%ED%95%91+%EC%99%80%EC%9D%B4%EC%96%B4&amp;sort=price_asc"/>
    <hyperlink ref="M15" r:id="rId10" display="https://search.shopping.naver.com/search/all?query=PCA9685+%EC%84%9C%EB%B3%B4+%EB%93%9C%EB%9D%BC%EC%9D%B4%EB%B2%84&amp;sort=price_asc"/>
    <hyperlink ref="M16" r:id="rId11" display="https://search.shopping.naver.com/search/all?query=%EB%A7%8C%EB%8A%A5%EA%B8%B0%ED%8C%90+%EC%96%91%EB%A9%B4&amp;sort=price_asc"/>
    <hyperlink ref="M17" r:id="rId12" display="https://search.shopping.naver.com/search/all?query=2S+%EB%A6%AC%ED%8F%AC+2200mAh&amp;sort=price_asc"/>
    <hyperlink ref="M18" r:id="rId13" display="https://search.shopping.naver.com/search/all?query=%EB%A6%AC%ED%8F%AC+%EB%B0%B8%EB%9F%B0%EC%8A%A4+%EC%B6%A9%EC%A0%84%EA%B8%B0+2S+3S&amp;sort=price_asc"/>
    <hyperlink ref="M19" r:id="rId14" display="https://search.shopping.naver.com/search/all?query=UBEC+6V+10A&amp;sort=price_asc"/>
    <hyperlink ref="M20" r:id="rId15" display="https://search.shopping.naver.com/search/all?query=MP1584EN+%EA%B0%95%EC%95%95+%EB%AA%A8%EB%93%88&amp;sort=price_asc"/>
    <hyperlink ref="M21" r:id="rId16" display="https://search.shopping.naver.com/search/all?query=2200uF+16V+%EC%BD%98%EB%8D%B4%EC%84%9C&amp;sort=price_asc"/>
    <hyperlink ref="M22" r:id="rId17" display="https://search.shopping.naver.com/search/all?query=%EB%B8%94%EB%A0%88%EC%9D%B4%EB%93%9C+%ED%93%A8%EC%A6%88+%ED%99%80%EB%8D%94+15A&amp;sort=price_asc"/>
    <hyperlink ref="M23" r:id="rId18" display="https://www.aliexpress.com/w/wholesale-623ZZ-bearing.html?SortType=price_asc"/>
    <hyperlink ref="M24" r:id="rId19" display="https://www.aliexpress.com/w/wholesale-M3-screw-kit-heat-insert.html?SortType=price_asc"/>
    <hyperlink ref="M25" r:id="rId20" display="https://search.shopping.naver.com/search/all?query=PETG+%ED%95%84%EB%9D%BC%EB%A9%98%ED%8A%B8+1kg&amp;sort=price_asc"/>
    <hyperlink ref="M26" r:id="rId21" display="https://search.shopping.naver.com/search/all?query=TPU+95A+%ED%95%84%EB%9D%BC%EB%A9%98%ED%8A%B8&amp;sort=price_a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6" min="4" style="0" width="8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40"/>
    <col collapsed="false" customWidth="true" hidden="false" outlineLevel="0" max="10" min="10" style="0" width="44"/>
  </cols>
  <sheetData>
    <row r="1" customFormat="false" ht="15" hidden="false" customHeight="false" outlineLevel="0" collapsed="false">
      <c r="A1" s="33" t="s">
        <v>317</v>
      </c>
      <c r="B1" s="5" t="s">
        <v>4</v>
      </c>
      <c r="C1" s="5" t="s">
        <v>57</v>
      </c>
      <c r="D1" s="33" t="s">
        <v>318</v>
      </c>
      <c r="E1" s="33" t="s">
        <v>319</v>
      </c>
      <c r="F1" s="33" t="s">
        <v>320</v>
      </c>
      <c r="G1" s="5" t="s">
        <v>321</v>
      </c>
      <c r="H1" s="5" t="s">
        <v>322</v>
      </c>
      <c r="I1" s="5" t="s">
        <v>69</v>
      </c>
      <c r="J1" s="5" t="s">
        <v>323</v>
      </c>
    </row>
    <row r="2" customFormat="false" ht="15" hidden="false" customHeight="false" outlineLevel="0" collapsed="false">
      <c r="A2" s="34" t="s">
        <v>324</v>
      </c>
      <c r="B2" s="35" t="s">
        <v>325</v>
      </c>
      <c r="C2" s="34" t="n">
        <v>1</v>
      </c>
      <c r="D2" s="34" t="n">
        <v>39.5</v>
      </c>
      <c r="E2" s="34" t="n">
        <v>46.5</v>
      </c>
      <c r="F2" s="34" t="n">
        <v>25.4</v>
      </c>
      <c r="G2" s="34" t="n">
        <v>6.69</v>
      </c>
      <c r="H2" s="34" t="s">
        <v>326</v>
      </c>
      <c r="I2" s="35" t="s">
        <v>327</v>
      </c>
      <c r="J2" s="34" t="s">
        <v>328</v>
      </c>
    </row>
    <row r="3" customFormat="false" ht="15" hidden="false" customHeight="false" outlineLevel="0" collapsed="false">
      <c r="A3" s="34" t="s">
        <v>329</v>
      </c>
      <c r="B3" s="35" t="s">
        <v>325</v>
      </c>
      <c r="C3" s="34" t="n">
        <v>1</v>
      </c>
      <c r="D3" s="34" t="n">
        <v>39.5</v>
      </c>
      <c r="E3" s="34" t="n">
        <v>36.5</v>
      </c>
      <c r="F3" s="34" t="n">
        <v>25.5</v>
      </c>
      <c r="G3" s="34" t="n">
        <v>7.88</v>
      </c>
      <c r="H3" s="34" t="s">
        <v>326</v>
      </c>
      <c r="I3" s="34"/>
      <c r="J3" s="34" t="s">
        <v>330</v>
      </c>
    </row>
    <row r="4" customFormat="false" ht="15" hidden="false" customHeight="false" outlineLevel="0" collapsed="false">
      <c r="A4" s="34" t="s">
        <v>331</v>
      </c>
      <c r="B4" s="35" t="s">
        <v>325</v>
      </c>
      <c r="C4" s="34" t="n">
        <v>1</v>
      </c>
      <c r="D4" s="34" t="n">
        <v>39.5</v>
      </c>
      <c r="E4" s="34" t="n">
        <v>46.5</v>
      </c>
      <c r="F4" s="34" t="n">
        <v>25.4</v>
      </c>
      <c r="G4" s="34" t="n">
        <v>6.69</v>
      </c>
      <c r="H4" s="34" t="s">
        <v>326</v>
      </c>
      <c r="I4" s="35" t="s">
        <v>327</v>
      </c>
      <c r="J4" s="34" t="s">
        <v>332</v>
      </c>
    </row>
    <row r="5" customFormat="false" ht="15" hidden="false" customHeight="false" outlineLevel="0" collapsed="false">
      <c r="A5" s="34" t="s">
        <v>333</v>
      </c>
      <c r="B5" s="35" t="s">
        <v>325</v>
      </c>
      <c r="C5" s="34" t="n">
        <v>1</v>
      </c>
      <c r="D5" s="34" t="n">
        <v>39.5</v>
      </c>
      <c r="E5" s="34" t="n">
        <v>36.5</v>
      </c>
      <c r="F5" s="34" t="n">
        <v>25.5</v>
      </c>
      <c r="G5" s="34" t="n">
        <v>7.88</v>
      </c>
      <c r="H5" s="34" t="s">
        <v>326</v>
      </c>
      <c r="I5" s="34"/>
      <c r="J5" s="34" t="s">
        <v>334</v>
      </c>
    </row>
    <row r="6" customFormat="false" ht="15" hidden="false" customHeight="false" outlineLevel="0" collapsed="false">
      <c r="A6" s="34" t="s">
        <v>335</v>
      </c>
      <c r="B6" s="35" t="s">
        <v>325</v>
      </c>
      <c r="C6" s="34" t="n">
        <v>1</v>
      </c>
      <c r="D6" s="34" t="n">
        <v>54.1</v>
      </c>
      <c r="E6" s="34" t="n">
        <v>3.8</v>
      </c>
      <c r="F6" s="34" t="n">
        <v>6.7</v>
      </c>
      <c r="G6" s="34" t="n">
        <v>0.46</v>
      </c>
      <c r="H6" s="34" t="s">
        <v>326</v>
      </c>
      <c r="I6" s="34"/>
      <c r="J6" s="34" t="s">
        <v>336</v>
      </c>
    </row>
    <row r="7" customFormat="false" ht="15" hidden="false" customHeight="false" outlineLevel="0" collapsed="false">
      <c r="A7" s="34" t="s">
        <v>337</v>
      </c>
      <c r="B7" s="35" t="s">
        <v>338</v>
      </c>
      <c r="C7" s="34" t="n">
        <v>2</v>
      </c>
      <c r="D7" s="34" t="n">
        <v>23</v>
      </c>
      <c r="E7" s="34" t="n">
        <v>3</v>
      </c>
      <c r="F7" s="34" t="n">
        <v>40</v>
      </c>
      <c r="G7" s="34" t="n">
        <v>0.63</v>
      </c>
      <c r="H7" s="35" t="s">
        <v>339</v>
      </c>
      <c r="I7" s="35" t="s">
        <v>340</v>
      </c>
      <c r="J7" s="34" t="s">
        <v>341</v>
      </c>
    </row>
    <row r="8" customFormat="false" ht="15" hidden="false" customHeight="false" outlineLevel="0" collapsed="false">
      <c r="A8" s="34" t="s">
        <v>342</v>
      </c>
      <c r="B8" s="35" t="s">
        <v>325</v>
      </c>
      <c r="C8" s="34" t="n">
        <v>1</v>
      </c>
      <c r="D8" s="34" t="n">
        <v>91.8</v>
      </c>
      <c r="E8" s="34" t="n">
        <v>116.7</v>
      </c>
      <c r="F8" s="34" t="n">
        <v>20.1</v>
      </c>
      <c r="G8" s="34" t="n">
        <v>23.8</v>
      </c>
      <c r="H8" s="34" t="s">
        <v>326</v>
      </c>
      <c r="I8" s="34"/>
      <c r="J8" s="34" t="s">
        <v>343</v>
      </c>
    </row>
    <row r="9" customFormat="false" ht="15" hidden="false" customHeight="false" outlineLevel="0" collapsed="false">
      <c r="A9" s="34" t="s">
        <v>344</v>
      </c>
      <c r="B9" s="35" t="s">
        <v>345</v>
      </c>
      <c r="C9" s="34" t="n">
        <v>1</v>
      </c>
      <c r="D9" s="34" t="n">
        <v>65</v>
      </c>
      <c r="E9" s="34" t="n">
        <v>30</v>
      </c>
      <c r="F9" s="34" t="n">
        <v>0.8</v>
      </c>
      <c r="G9" s="34" t="n">
        <v>1.57</v>
      </c>
      <c r="H9" s="34" t="s">
        <v>346</v>
      </c>
      <c r="I9" s="35" t="s">
        <v>347</v>
      </c>
      <c r="J9" s="34" t="s">
        <v>348</v>
      </c>
    </row>
    <row r="10" customFormat="false" ht="15" hidden="false" customHeight="false" outlineLevel="0" collapsed="false">
      <c r="A10" s="34" t="s">
        <v>349</v>
      </c>
      <c r="B10" s="35" t="s">
        <v>325</v>
      </c>
      <c r="C10" s="34" t="n">
        <v>1</v>
      </c>
      <c r="D10" s="34" t="n">
        <v>87.7</v>
      </c>
      <c r="E10" s="34" t="n">
        <v>12.5</v>
      </c>
      <c r="F10" s="34" t="n">
        <v>44.6</v>
      </c>
      <c r="G10" s="34" t="n">
        <v>5.82</v>
      </c>
      <c r="H10" s="34" t="s">
        <v>326</v>
      </c>
      <c r="I10" s="34"/>
      <c r="J10" s="34" t="s">
        <v>350</v>
      </c>
    </row>
    <row r="11" customFormat="false" ht="15" hidden="false" customHeight="false" outlineLevel="0" collapsed="false">
      <c r="A11" s="34" t="s">
        <v>351</v>
      </c>
      <c r="B11" s="35" t="s">
        <v>325</v>
      </c>
      <c r="C11" s="34" t="n">
        <v>1</v>
      </c>
      <c r="D11" s="34" t="n">
        <v>40.1</v>
      </c>
      <c r="E11" s="34" t="n">
        <v>54</v>
      </c>
      <c r="F11" s="34" t="n">
        <v>16.9</v>
      </c>
      <c r="G11" s="34" t="n">
        <v>12.18</v>
      </c>
      <c r="H11" s="34" t="s">
        <v>326</v>
      </c>
      <c r="I11" s="34"/>
      <c r="J11" s="34" t="s">
        <v>352</v>
      </c>
    </row>
    <row r="12" customFormat="false" ht="15" hidden="false" customHeight="false" outlineLevel="0" collapsed="false">
      <c r="A12" s="34" t="s">
        <v>353</v>
      </c>
      <c r="B12" s="35" t="s">
        <v>325</v>
      </c>
      <c r="C12" s="34" t="n">
        <v>1</v>
      </c>
      <c r="D12" s="34" t="n">
        <v>40.1</v>
      </c>
      <c r="E12" s="34" t="n">
        <v>54</v>
      </c>
      <c r="F12" s="34" t="n">
        <v>16.9</v>
      </c>
      <c r="G12" s="34" t="n">
        <v>12.18</v>
      </c>
      <c r="H12" s="34" t="s">
        <v>326</v>
      </c>
      <c r="I12" s="34"/>
      <c r="J12" s="34" t="s">
        <v>354</v>
      </c>
    </row>
    <row r="13" customFormat="false" ht="15" hidden="false" customHeight="false" outlineLevel="0" collapsed="false">
      <c r="A13" s="34" t="s">
        <v>355</v>
      </c>
      <c r="B13" s="35" t="s">
        <v>325</v>
      </c>
      <c r="C13" s="34" t="n">
        <v>2</v>
      </c>
      <c r="D13" s="34" t="n">
        <v>32.5</v>
      </c>
      <c r="E13" s="34" t="n">
        <v>34.5</v>
      </c>
      <c r="F13" s="34" t="n">
        <v>19</v>
      </c>
      <c r="G13" s="34" t="n">
        <v>4.52</v>
      </c>
      <c r="H13" s="34" t="s">
        <v>326</v>
      </c>
      <c r="I13" s="34"/>
      <c r="J13" s="34" t="s">
        <v>356</v>
      </c>
    </row>
    <row r="14" customFormat="false" ht="15" hidden="false" customHeight="false" outlineLevel="0" collapsed="false">
      <c r="A14" s="34" t="s">
        <v>357</v>
      </c>
      <c r="B14" s="35" t="s">
        <v>325</v>
      </c>
      <c r="C14" s="34" t="n">
        <v>1</v>
      </c>
      <c r="D14" s="34" t="n">
        <v>91.4</v>
      </c>
      <c r="E14" s="34" t="n">
        <v>68.7</v>
      </c>
      <c r="F14" s="34" t="n">
        <v>29.4</v>
      </c>
      <c r="G14" s="34" t="n">
        <v>9.36</v>
      </c>
      <c r="H14" s="34" t="s">
        <v>326</v>
      </c>
      <c r="I14" s="34"/>
      <c r="J14" s="34" t="s">
        <v>358</v>
      </c>
    </row>
    <row r="15" customFormat="false" ht="15" hidden="false" customHeight="false" outlineLevel="0" collapsed="false">
      <c r="A15" s="34" t="s">
        <v>359</v>
      </c>
      <c r="B15" s="35" t="s">
        <v>360</v>
      </c>
      <c r="C15" s="34" t="n">
        <v>1</v>
      </c>
      <c r="D15" s="34" t="n">
        <v>87.7</v>
      </c>
      <c r="E15" s="34" t="n">
        <v>32.2</v>
      </c>
      <c r="F15" s="34" t="n">
        <v>8.4</v>
      </c>
      <c r="G15" s="34" t="n">
        <v>18.6</v>
      </c>
      <c r="H15" s="34" t="s">
        <v>361</v>
      </c>
      <c r="I15" s="35" t="s">
        <v>362</v>
      </c>
      <c r="J15" s="34" t="s">
        <v>363</v>
      </c>
    </row>
    <row r="16" customFormat="false" ht="15" hidden="false" customHeight="false" outlineLevel="0" collapsed="false">
      <c r="A16" s="34" t="s">
        <v>364</v>
      </c>
      <c r="B16" s="35" t="s">
        <v>325</v>
      </c>
      <c r="C16" s="34" t="n">
        <v>1</v>
      </c>
      <c r="D16" s="34" t="n">
        <v>33.7</v>
      </c>
      <c r="E16" s="34" t="n">
        <v>80.9</v>
      </c>
      <c r="F16" s="34" t="n">
        <v>41.7</v>
      </c>
      <c r="G16" s="34" t="n">
        <v>11.39</v>
      </c>
      <c r="H16" s="34" t="s">
        <v>326</v>
      </c>
      <c r="I16" s="34"/>
      <c r="J16" s="34" t="s">
        <v>365</v>
      </c>
    </row>
    <row r="17" customFormat="false" ht="15" hidden="false" customHeight="false" outlineLevel="0" collapsed="false">
      <c r="A17" s="34" t="s">
        <v>366</v>
      </c>
      <c r="B17" s="35" t="s">
        <v>325</v>
      </c>
      <c r="C17" s="34" t="n">
        <v>2</v>
      </c>
      <c r="D17" s="34" t="n">
        <v>8</v>
      </c>
      <c r="E17" s="34" t="n">
        <v>20</v>
      </c>
      <c r="F17" s="34" t="n">
        <v>58</v>
      </c>
      <c r="G17" s="34" t="n">
        <v>3.41</v>
      </c>
      <c r="H17" s="34" t="s">
        <v>326</v>
      </c>
      <c r="I17" s="34"/>
      <c r="J17" s="34" t="s">
        <v>367</v>
      </c>
    </row>
    <row r="18" customFormat="false" ht="15" hidden="false" customHeight="false" outlineLevel="0" collapsed="false">
      <c r="A18" s="34" t="s">
        <v>368</v>
      </c>
      <c r="B18" s="35" t="s">
        <v>369</v>
      </c>
      <c r="C18" s="34" t="n">
        <v>1</v>
      </c>
      <c r="D18" s="34" t="n">
        <v>16.9</v>
      </c>
      <c r="E18" s="34" t="n">
        <v>18.9</v>
      </c>
      <c r="F18" s="34" t="n">
        <v>16.9</v>
      </c>
      <c r="G18" s="34" t="n">
        <v>2.8</v>
      </c>
      <c r="H18" s="34" t="s">
        <v>370</v>
      </c>
      <c r="I18" s="34" t="s">
        <v>371</v>
      </c>
      <c r="J18" s="34" t="s">
        <v>372</v>
      </c>
    </row>
    <row r="19" customFormat="false" ht="15" hidden="false" customHeight="false" outlineLevel="0" collapsed="false">
      <c r="A19" s="34" t="s">
        <v>373</v>
      </c>
      <c r="B19" s="35" t="s">
        <v>325</v>
      </c>
      <c r="C19" s="34" t="n">
        <v>1</v>
      </c>
      <c r="D19" s="34" t="n">
        <v>24</v>
      </c>
      <c r="E19" s="34" t="n">
        <v>14.8</v>
      </c>
      <c r="F19" s="34" t="n">
        <v>16</v>
      </c>
      <c r="G19" s="34" t="n">
        <v>1.1</v>
      </c>
      <c r="H19" s="34" t="s">
        <v>326</v>
      </c>
      <c r="I19" s="34"/>
      <c r="J19" s="34" t="s">
        <v>374</v>
      </c>
    </row>
    <row r="20" customFormat="false" ht="15" hidden="false" customHeight="false" outlineLevel="0" collapsed="false">
      <c r="A20" s="34" t="s">
        <v>375</v>
      </c>
      <c r="B20" s="35" t="s">
        <v>325</v>
      </c>
      <c r="C20" s="34" t="n">
        <v>1</v>
      </c>
      <c r="D20" s="34" t="n">
        <v>73.5</v>
      </c>
      <c r="E20" s="34" t="n">
        <v>54.2</v>
      </c>
      <c r="F20" s="34" t="n">
        <v>18.8</v>
      </c>
      <c r="G20" s="34" t="n">
        <v>7.52</v>
      </c>
      <c r="H20" s="34" t="s">
        <v>326</v>
      </c>
      <c r="I20" s="34"/>
      <c r="J20" s="34" t="s">
        <v>376</v>
      </c>
    </row>
    <row r="21" customFormat="false" ht="15" hidden="false" customHeight="false" outlineLevel="0" collapsed="false">
      <c r="A21" s="34" t="s">
        <v>377</v>
      </c>
      <c r="B21" s="35" t="s">
        <v>338</v>
      </c>
      <c r="C21" s="34" t="n">
        <v>2</v>
      </c>
      <c r="D21" s="34" t="n">
        <v>2</v>
      </c>
      <c r="E21" s="34" t="n">
        <v>20</v>
      </c>
      <c r="F21" s="34" t="n">
        <v>11</v>
      </c>
      <c r="G21" s="34" t="n">
        <v>0.4</v>
      </c>
      <c r="H21" s="35" t="s">
        <v>378</v>
      </c>
      <c r="I21" s="35" t="s">
        <v>379</v>
      </c>
      <c r="J21" s="34" t="s">
        <v>380</v>
      </c>
    </row>
    <row r="22" customFormat="false" ht="15" hidden="false" customHeight="false" outlineLevel="0" collapsed="false">
      <c r="A22" s="34" t="s">
        <v>381</v>
      </c>
      <c r="B22" s="35" t="s">
        <v>325</v>
      </c>
      <c r="C22" s="34" t="n">
        <v>1</v>
      </c>
      <c r="D22" s="34" t="n">
        <v>35</v>
      </c>
      <c r="E22" s="34" t="n">
        <v>18</v>
      </c>
      <c r="F22" s="34" t="n">
        <v>27.7</v>
      </c>
      <c r="G22" s="34" t="n">
        <v>4.11</v>
      </c>
      <c r="H22" s="34" t="s">
        <v>326</v>
      </c>
      <c r="I22" s="34"/>
      <c r="J22" s="34" t="s">
        <v>382</v>
      </c>
    </row>
    <row r="23" customFormat="false" ht="15" hidden="false" customHeight="false" outlineLevel="0" collapsed="false">
      <c r="A23" s="34" t="s">
        <v>383</v>
      </c>
      <c r="B23" s="35" t="s">
        <v>325</v>
      </c>
      <c r="C23" s="34" t="n">
        <v>1</v>
      </c>
      <c r="D23" s="34" t="n">
        <v>30</v>
      </c>
      <c r="E23" s="34" t="n">
        <v>9.5</v>
      </c>
      <c r="F23" s="34" t="n">
        <v>30</v>
      </c>
      <c r="G23" s="34" t="n">
        <v>4.25</v>
      </c>
      <c r="H23" s="34" t="s">
        <v>326</v>
      </c>
      <c r="I23" s="34"/>
      <c r="J23" s="34" t="s">
        <v>384</v>
      </c>
    </row>
    <row r="24" customFormat="false" ht="15" hidden="false" customHeight="false" outlineLevel="0" collapsed="false">
      <c r="A24" s="34" t="s">
        <v>385</v>
      </c>
      <c r="B24" s="35" t="s">
        <v>369</v>
      </c>
      <c r="C24" s="34" t="n">
        <v>1</v>
      </c>
      <c r="D24" s="34" t="n">
        <v>38.6</v>
      </c>
      <c r="E24" s="34" t="n">
        <v>20.6</v>
      </c>
      <c r="F24" s="34" t="n">
        <v>70.8</v>
      </c>
      <c r="G24" s="34" t="n">
        <v>51.56</v>
      </c>
      <c r="H24" s="34" t="s">
        <v>386</v>
      </c>
      <c r="I24" s="35" t="s">
        <v>387</v>
      </c>
      <c r="J24" s="34" t="s">
        <v>388</v>
      </c>
    </row>
    <row r="25" customFormat="false" ht="15" hidden="false" customHeight="false" outlineLevel="0" collapsed="false">
      <c r="A25" s="34" t="s">
        <v>389</v>
      </c>
      <c r="B25" s="35" t="s">
        <v>369</v>
      </c>
      <c r="C25" s="34" t="n">
        <v>1</v>
      </c>
      <c r="D25" s="34" t="n">
        <v>65</v>
      </c>
      <c r="E25" s="34" t="n">
        <v>1.6</v>
      </c>
      <c r="F25" s="34" t="n">
        <v>30</v>
      </c>
      <c r="G25" s="34" t="n">
        <v>3.02</v>
      </c>
      <c r="H25" s="34" t="s">
        <v>390</v>
      </c>
      <c r="I25" s="35" t="s">
        <v>391</v>
      </c>
      <c r="J25" s="34" t="s">
        <v>392</v>
      </c>
    </row>
    <row r="26" customFormat="false" ht="15" hidden="false" customHeight="false" outlineLevel="0" collapsed="false">
      <c r="A26" s="34" t="s">
        <v>393</v>
      </c>
      <c r="B26" s="35" t="s">
        <v>325</v>
      </c>
      <c r="C26" s="34" t="n">
        <v>1</v>
      </c>
      <c r="D26" s="34" t="n">
        <v>54.5</v>
      </c>
      <c r="E26" s="34" t="n">
        <v>17</v>
      </c>
      <c r="F26" s="34" t="n">
        <v>83.5</v>
      </c>
      <c r="G26" s="34" t="n">
        <v>10.49</v>
      </c>
      <c r="H26" s="34" t="s">
        <v>326</v>
      </c>
      <c r="I26" s="34"/>
      <c r="J26" s="34" t="s">
        <v>394</v>
      </c>
    </row>
    <row r="27" customFormat="false" ht="15" hidden="false" customHeight="false" outlineLevel="0" collapsed="false">
      <c r="A27" s="34" t="s">
        <v>395</v>
      </c>
      <c r="B27" s="35" t="s">
        <v>325</v>
      </c>
      <c r="C27" s="34" t="n">
        <v>1</v>
      </c>
      <c r="D27" s="34" t="n">
        <v>31.8</v>
      </c>
      <c r="E27" s="34" t="n">
        <v>80.9</v>
      </c>
      <c r="F27" s="34" t="n">
        <v>41.7</v>
      </c>
      <c r="G27" s="34" t="n">
        <v>11.22</v>
      </c>
      <c r="H27" s="34" t="s">
        <v>326</v>
      </c>
      <c r="I27" s="34"/>
      <c r="J27" s="34" t="s">
        <v>396</v>
      </c>
    </row>
    <row r="28" customFormat="false" ht="15" hidden="false" customHeight="false" outlineLevel="0" collapsed="false">
      <c r="A28" s="34" t="s">
        <v>397</v>
      </c>
      <c r="B28" s="35" t="s">
        <v>325</v>
      </c>
      <c r="C28" s="34" t="n">
        <v>4</v>
      </c>
      <c r="D28" s="34" t="n">
        <v>7.6</v>
      </c>
      <c r="E28" s="34" t="n">
        <v>20.2</v>
      </c>
      <c r="F28" s="34" t="n">
        <v>20.2</v>
      </c>
      <c r="G28" s="34" t="n">
        <v>1.03</v>
      </c>
      <c r="H28" s="34" t="s">
        <v>326</v>
      </c>
      <c r="I28" s="35" t="s">
        <v>398</v>
      </c>
      <c r="J28" s="34" t="s">
        <v>399</v>
      </c>
    </row>
    <row r="29" customFormat="false" ht="15" hidden="false" customHeight="false" outlineLevel="0" collapsed="false">
      <c r="A29" s="34" t="s">
        <v>400</v>
      </c>
      <c r="B29" s="35" t="s">
        <v>325</v>
      </c>
      <c r="C29" s="34" t="n">
        <v>2</v>
      </c>
      <c r="D29" s="34" t="n">
        <v>40.5</v>
      </c>
      <c r="E29" s="34" t="n">
        <v>73</v>
      </c>
      <c r="F29" s="34" t="n">
        <v>30.4</v>
      </c>
      <c r="G29" s="34" t="n">
        <v>11.81</v>
      </c>
      <c r="H29" s="34" t="s">
        <v>326</v>
      </c>
      <c r="I29" s="35" t="s">
        <v>398</v>
      </c>
      <c r="J29" s="34" t="s">
        <v>401</v>
      </c>
    </row>
    <row r="30" customFormat="false" ht="15" hidden="false" customHeight="false" outlineLevel="0" collapsed="false">
      <c r="A30" s="34" t="s">
        <v>402</v>
      </c>
      <c r="B30" s="35" t="s">
        <v>369</v>
      </c>
      <c r="C30" s="34" t="n">
        <v>11</v>
      </c>
      <c r="D30" s="34" t="n">
        <v>22</v>
      </c>
      <c r="E30" s="34" t="n">
        <v>22</v>
      </c>
      <c r="F30" s="34" t="n">
        <v>4</v>
      </c>
      <c r="G30" s="34" t="n">
        <v>0.49</v>
      </c>
      <c r="H30" s="35" t="s">
        <v>403</v>
      </c>
      <c r="I30" s="35" t="s">
        <v>307</v>
      </c>
      <c r="J30" s="34" t="s">
        <v>404</v>
      </c>
    </row>
    <row r="31" customFormat="false" ht="15" hidden="false" customHeight="false" outlineLevel="0" collapsed="false">
      <c r="A31" s="34" t="s">
        <v>405</v>
      </c>
      <c r="B31" s="35" t="s">
        <v>369</v>
      </c>
      <c r="C31" s="34" t="n">
        <v>3</v>
      </c>
      <c r="D31" s="34" t="n">
        <v>15</v>
      </c>
      <c r="E31" s="34" t="n">
        <v>15</v>
      </c>
      <c r="F31" s="34" t="n">
        <v>3</v>
      </c>
      <c r="G31" s="34" t="n">
        <v>0.19</v>
      </c>
      <c r="H31" s="35" t="s">
        <v>406</v>
      </c>
      <c r="I31" s="35" t="s">
        <v>407</v>
      </c>
      <c r="J31" s="34" t="s">
        <v>408</v>
      </c>
    </row>
    <row r="32" customFormat="false" ht="15" hidden="false" customHeight="false" outlineLevel="0" collapsed="false">
      <c r="A32" s="34" t="s">
        <v>409</v>
      </c>
      <c r="B32" s="35" t="s">
        <v>360</v>
      </c>
      <c r="C32" s="34" t="n">
        <v>1</v>
      </c>
      <c r="D32" s="34" t="n">
        <v>87.8</v>
      </c>
      <c r="E32" s="34" t="n">
        <v>32.6</v>
      </c>
      <c r="F32" s="34" t="n">
        <v>3.3</v>
      </c>
      <c r="G32" s="34" t="n">
        <v>2.7</v>
      </c>
      <c r="H32" s="34" t="s">
        <v>361</v>
      </c>
      <c r="I32" s="35" t="s">
        <v>410</v>
      </c>
      <c r="J32" s="34" t="s">
        <v>411</v>
      </c>
    </row>
    <row r="33" customFormat="false" ht="15" hidden="false" customHeight="false" outlineLevel="0" collapsed="false">
      <c r="A33" s="34" t="s">
        <v>412</v>
      </c>
      <c r="B33" s="35" t="s">
        <v>360</v>
      </c>
      <c r="C33" s="34" t="n">
        <v>1</v>
      </c>
      <c r="D33" s="34" t="n">
        <v>41.1</v>
      </c>
      <c r="E33" s="34" t="n">
        <v>54</v>
      </c>
      <c r="F33" s="34" t="n">
        <v>12.9</v>
      </c>
      <c r="G33" s="34" t="n">
        <v>6.25</v>
      </c>
      <c r="H33" s="34" t="s">
        <v>361</v>
      </c>
      <c r="I33" s="35" t="s">
        <v>316</v>
      </c>
      <c r="J33" s="34" t="s">
        <v>413</v>
      </c>
    </row>
    <row r="34" customFormat="false" ht="15" hidden="false" customHeight="false" outlineLevel="0" collapsed="false">
      <c r="A34" s="34" t="s">
        <v>414</v>
      </c>
      <c r="B34" s="35" t="s">
        <v>360</v>
      </c>
      <c r="C34" s="34" t="n">
        <v>1</v>
      </c>
      <c r="D34" s="34" t="n">
        <v>41.1</v>
      </c>
      <c r="E34" s="34" t="n">
        <v>54</v>
      </c>
      <c r="F34" s="34" t="n">
        <v>12.9</v>
      </c>
      <c r="G34" s="34" t="n">
        <v>6.25</v>
      </c>
      <c r="H34" s="34" t="s">
        <v>361</v>
      </c>
      <c r="I34" s="35" t="s">
        <v>316</v>
      </c>
      <c r="J34" s="34" t="s">
        <v>415</v>
      </c>
    </row>
    <row r="35" customFormat="false" ht="15" hidden="false" customHeight="false" outlineLevel="0" collapsed="false">
      <c r="A35" s="34" t="s">
        <v>416</v>
      </c>
      <c r="B35" s="35" t="s">
        <v>369</v>
      </c>
      <c r="C35" s="34" t="n">
        <v>1</v>
      </c>
      <c r="D35" s="34" t="n">
        <v>35</v>
      </c>
      <c r="E35" s="34" t="n">
        <v>25</v>
      </c>
      <c r="F35" s="34" t="n">
        <v>7</v>
      </c>
      <c r="G35" s="34" t="n">
        <v>6.13</v>
      </c>
      <c r="H35" s="34" t="s">
        <v>417</v>
      </c>
      <c r="I35" s="34"/>
      <c r="J35" s="34" t="s">
        <v>418</v>
      </c>
    </row>
    <row r="36" customFormat="false" ht="15" hidden="false" customHeight="false" outlineLevel="0" collapsed="false">
      <c r="A36" s="34" t="s">
        <v>419</v>
      </c>
      <c r="B36" s="35" t="s">
        <v>360</v>
      </c>
      <c r="C36" s="34" t="n">
        <v>4</v>
      </c>
      <c r="D36" s="34" t="n">
        <v>7.6</v>
      </c>
      <c r="E36" s="34" t="n">
        <v>30</v>
      </c>
      <c r="F36" s="34" t="n">
        <v>30</v>
      </c>
      <c r="G36" s="34" t="n">
        <v>2.81</v>
      </c>
      <c r="H36" s="34" t="s">
        <v>361</v>
      </c>
      <c r="I36" s="35" t="s">
        <v>420</v>
      </c>
      <c r="J36" s="34" t="s">
        <v>421</v>
      </c>
    </row>
    <row r="37" customFormat="false" ht="15" hidden="false" customHeight="false" outlineLevel="0" collapsed="false">
      <c r="A37" s="34" t="s">
        <v>422</v>
      </c>
      <c r="B37" s="35" t="s">
        <v>325</v>
      </c>
      <c r="C37" s="34" t="n">
        <v>1</v>
      </c>
      <c r="D37" s="34" t="n">
        <v>91.8</v>
      </c>
      <c r="E37" s="34" t="n">
        <v>122.7</v>
      </c>
      <c r="F37" s="34" t="n">
        <v>46.3</v>
      </c>
      <c r="G37" s="34" t="n">
        <v>29.87</v>
      </c>
      <c r="H37" s="34" t="s">
        <v>326</v>
      </c>
      <c r="I37" s="34"/>
      <c r="J37" s="34" t="s">
        <v>423</v>
      </c>
    </row>
    <row r="38" customFormat="false" ht="15" hidden="false" customHeight="false" outlineLevel="0" collapsed="false">
      <c r="A38" s="34" t="s">
        <v>424</v>
      </c>
      <c r="B38" s="35" t="s">
        <v>338</v>
      </c>
      <c r="C38" s="34" t="n">
        <v>1</v>
      </c>
      <c r="D38" s="34" t="n">
        <v>57</v>
      </c>
      <c r="E38" s="34" t="n">
        <v>36</v>
      </c>
      <c r="F38" s="34" t="n">
        <v>3</v>
      </c>
      <c r="G38" s="34" t="n">
        <v>1.42</v>
      </c>
      <c r="H38" s="35" t="s">
        <v>339</v>
      </c>
      <c r="I38" s="35" t="s">
        <v>425</v>
      </c>
      <c r="J38" s="34" t="s">
        <v>426</v>
      </c>
    </row>
    <row r="39" customFormat="false" ht="15" hidden="false" customHeight="false" outlineLevel="0" collapsed="false">
      <c r="A39" s="34" t="s">
        <v>427</v>
      </c>
      <c r="B39" s="35" t="s">
        <v>325</v>
      </c>
      <c r="C39" s="34" t="n">
        <v>1</v>
      </c>
      <c r="D39" s="34" t="n">
        <v>28</v>
      </c>
      <c r="E39" s="34" t="n">
        <v>47.7</v>
      </c>
      <c r="F39" s="34" t="n">
        <v>61</v>
      </c>
      <c r="G39" s="34" t="n">
        <v>4.15</v>
      </c>
      <c r="H39" s="34" t="s">
        <v>326</v>
      </c>
      <c r="I39" s="34"/>
      <c r="J39" s="34" t="s">
        <v>428</v>
      </c>
    </row>
    <row r="40" customFormat="false" ht="15" hidden="false" customHeight="false" outlineLevel="0" collapsed="false">
      <c r="A40" s="34" t="s">
        <v>429</v>
      </c>
      <c r="B40" s="35" t="s">
        <v>325</v>
      </c>
      <c r="C40" s="34" t="n">
        <v>1</v>
      </c>
      <c r="D40" s="34" t="n">
        <v>28</v>
      </c>
      <c r="E40" s="34" t="n">
        <v>47.7</v>
      </c>
      <c r="F40" s="34" t="n">
        <v>61</v>
      </c>
      <c r="G40" s="34" t="n">
        <v>4.15</v>
      </c>
      <c r="H40" s="34" t="s">
        <v>326</v>
      </c>
      <c r="I40" s="34"/>
      <c r="J40" s="34" t="s">
        <v>430</v>
      </c>
    </row>
    <row r="41" customFormat="false" ht="15" hidden="false" customHeight="false" outlineLevel="0" collapsed="false">
      <c r="A41" s="34" t="s">
        <v>431</v>
      </c>
      <c r="B41" s="35" t="s">
        <v>338</v>
      </c>
      <c r="C41" s="34" t="n">
        <v>2</v>
      </c>
      <c r="D41" s="34" t="n">
        <v>1</v>
      </c>
      <c r="E41" s="34" t="n">
        <v>45</v>
      </c>
      <c r="F41" s="34" t="n">
        <v>58.1</v>
      </c>
      <c r="G41" s="34" t="n">
        <v>0.75</v>
      </c>
      <c r="H41" s="35" t="s">
        <v>339</v>
      </c>
      <c r="I41" s="35" t="s">
        <v>432</v>
      </c>
      <c r="J41" s="34" t="s">
        <v>433</v>
      </c>
    </row>
    <row r="42" customFormat="false" ht="15" hidden="false" customHeight="false" outlineLevel="0" collapsed="false">
      <c r="A42" s="34" t="s">
        <v>434</v>
      </c>
      <c r="B42" s="35" t="s">
        <v>369</v>
      </c>
      <c r="C42" s="34" t="n">
        <v>15</v>
      </c>
      <c r="D42" s="34" t="n">
        <v>29</v>
      </c>
      <c r="E42" s="34" t="n">
        <v>20</v>
      </c>
      <c r="F42" s="34" t="n">
        <v>34</v>
      </c>
      <c r="G42" s="34" t="n">
        <v>15.68</v>
      </c>
      <c r="H42" s="34" t="s">
        <v>71</v>
      </c>
      <c r="I42" s="35" t="s">
        <v>435</v>
      </c>
      <c r="J42" s="34" t="s">
        <v>436</v>
      </c>
    </row>
    <row r="43" customFormat="false" ht="15" hidden="false" customHeight="false" outlineLevel="0" collapsed="false">
      <c r="A43" s="34" t="s">
        <v>437</v>
      </c>
      <c r="B43" s="35" t="s">
        <v>325</v>
      </c>
      <c r="C43" s="34" t="n">
        <v>2</v>
      </c>
      <c r="D43" s="34" t="n">
        <v>23</v>
      </c>
      <c r="E43" s="34" t="n">
        <v>25.8</v>
      </c>
      <c r="F43" s="34" t="n">
        <v>20.5</v>
      </c>
      <c r="G43" s="34" t="n">
        <v>2.82</v>
      </c>
      <c r="H43" s="34" t="s">
        <v>326</v>
      </c>
      <c r="I43" s="34"/>
      <c r="J43" s="34" t="s">
        <v>438</v>
      </c>
    </row>
    <row r="44" customFormat="false" ht="15" hidden="false" customHeight="false" outlineLevel="0" collapsed="false">
      <c r="A44" s="34" t="s">
        <v>439</v>
      </c>
      <c r="B44" s="35" t="s">
        <v>325</v>
      </c>
      <c r="C44" s="34" t="n">
        <v>1</v>
      </c>
      <c r="D44" s="34" t="n">
        <v>34</v>
      </c>
      <c r="E44" s="34" t="n">
        <v>35.9</v>
      </c>
      <c r="F44" s="34" t="n">
        <v>22.5</v>
      </c>
      <c r="G44" s="34" t="n">
        <v>4.56</v>
      </c>
      <c r="H44" s="34" t="s">
        <v>326</v>
      </c>
      <c r="I44" s="34"/>
      <c r="J44" s="34" t="s">
        <v>440</v>
      </c>
    </row>
    <row r="46" customFormat="false" ht="15" hidden="false" customHeight="false" outlineLevel="0" collapsed="false">
      <c r="A46" s="2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2026-10-29T07:59:30Z</dcterms:created>
  <dc:creator>openpyxl</dc:creator>
  <dc:description/>
  <dc:language>en-US</dc:language>
  <cp:lastModifiedBy/>
  <dcterms:modified xsi:type="dcterms:W3CDTF">2026-10-29T07:59:30Z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